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af9d711c5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" sheetId="1" r:id="R365db64c6d9b405b"/>
    <x:sheet xmlns:r="http://schemas.openxmlformats.org/officeDocument/2006/relationships" name="排班表" sheetId="2" r:id="R1e8a3c83e0df4864"/>
    <x:sheet xmlns:r="http://schemas.openxmlformats.org/officeDocument/2006/relationships" name="汇总" sheetId="3" r:id="R55726239088e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FFFFFF"/>
      <x:name val="Microsoft YaHei"/>
    </x:font>
    <x:font>
      <x:sz val="11"/>
      <x:color rgb="FF163A5F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b/>
      <x:sz val="10"/>
      <x:color rgb="FFFFFFFF"/>
      <x:name val="Microsoft YaHei"/>
    </x:font>
    <x:font>
      <x:b/>
      <x:sz val="10"/>
      <x:color rgb="FF163A5F"/>
      <x:name val="Microsoft YaHei"/>
    </x:font>
    <x:font>
      <x:sz val="1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6C8EBF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medium">
        <x:color rgb="FF7F8FA6"/>
      </x:top>
      <x:bottom style="thin">
        <x:color rgb="FFD9E2F3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200" fontId="0" fillId="5" borderId="1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5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5" fillId="6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55A11"/>
      </x:font>
      <x:fill>
        <x:patternFill patternType="solid">
          <x:bgColor rgb="FFFCE4D6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43284cb704117" /><Relationship Type="http://schemas.openxmlformats.org/officeDocument/2006/relationships/theme" Target="/xl/theme/theme1.xml" Id="R3574eaa5b7364966" /><Relationship Type="http://schemas.openxmlformats.org/officeDocument/2006/relationships/sharedStrings" Target="/xl/sharedStrings.xml" Id="Ra8b0fef3a9894e7c" /><Relationship Type="http://schemas.openxmlformats.org/officeDocument/2006/relationships/worksheet" Target="/xl/worksheets/sheet1.xml" Id="R365db64c6d9b405b" /><Relationship Type="http://schemas.openxmlformats.org/officeDocument/2006/relationships/worksheet" Target="/xl/worksheets/sheet2.xml" Id="R1e8a3c83e0df4864" /><Relationship Type="http://schemas.openxmlformats.org/officeDocument/2006/relationships/worksheet" Target="/xl/worksheets/sheet3.xml" Id="R55726239088e44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7f57079a344c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16周班次统计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白班</c:v>
          </c:tx>
          <c:cat>
            <c:strRef>
              <c:f>'汇总'!$A$4:$A$7</c:f>
              <c:strCache>
                <c:ptCount val="0"/>
              </c:strCache>
            </c:strRef>
          </c:cat>
          <c:val>
            <c:numRef>
              <c:f>'汇总'!$B$4:$B$7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晚班</c:v>
          </c:tx>
          <c:cat>
            <c:strRef>
              <c:f>'汇总'!$A$4:$A$7</c:f>
              <c:strCache>
                <c:ptCount val="0"/>
              </c:strCache>
            </c:strRef>
          </c:cat>
          <c:val>
            <c:numRef>
              <c:f>'汇总'!$C$4:$C$7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休假</c:v>
          </c:tx>
          <c:cat>
            <c:strRef>
              <c:f>'汇总'!$A$4:$A$7</c:f>
              <c:strCache>
                <c:ptCount val="0"/>
              </c:strCache>
            </c:strRef>
          </c:cat>
          <c:val>
            <c:numRef>
              <c:f>'汇总'!$D$4:$D$7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7f57079a344c9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364d891f93946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2.5" customHeight="1">
      <x:c r="A1" s="4" t="str">
        <x:v>客服排班器 - 4人 16周模板</x:v>
      </x:c>
      <x:c r="B1" s="4"/>
      <x:c r="C1" s="4"/>
      <x:c r="D1" s="4"/>
      <x:c r="E1" s="4"/>
      <x:c r="F1" s="4"/>
      <x:c r="G1" s="4"/>
      <x:c r="H1" s="4"/>
    </x:row>
    <x:row r="2" ht="40.5" customHeight="1">
      <x:c r="A2" s="8" t="str">
        <x:v>用法：改开始日期和姓名即可。开始日期请填周一；员工顺序默认是 当前周末休 / 周二三休 / 周四五休A(下一个休周末) / 周四五休B。</x:v>
      </x:c>
      <x:c r="B2" s="8"/>
      <x:c r="C2" s="8"/>
      <x:c r="D2" s="8"/>
      <x:c r="E2" s="8"/>
      <x:c r="F2" s="8"/>
      <x:c r="G2" s="8"/>
      <x:c r="H2" s="8"/>
    </x:row>
    <x:row r="4">
      <x:c r="A4" s="25" t="str">
        <x:v>可编辑项</x:v>
      </x:c>
      <x:c r="B4" s="25" t="str">
        <x:v>值</x:v>
      </x:c>
      <x:c r="C4" s="25" t="str">
        <x:v>说明</x:v>
      </x:c>
      <x:c r="E4" s="15" t="str">
        <x:v>角色模板</x:v>
      </x:c>
      <x:c r="F4" s="15" t="str">
        <x:v>周一</x:v>
      </x:c>
      <x:c r="G4" s="15" t="str">
        <x:v>周二</x:v>
      </x:c>
      <x:c r="H4" s="15" t="str">
        <x:v>周三</x:v>
      </x:c>
      <x:c r="I4" s="15" t="str">
        <x:v>周四</x:v>
      </x:c>
      <x:c r="J4" s="15" t="str">
        <x:v>周五</x:v>
      </x:c>
      <x:c r="K4" s="15" t="str">
        <x:v>周六</x:v>
      </x:c>
      <x:c r="L4" s="15" t="str">
        <x:v>周日</x:v>
      </x:c>
    </x:row>
    <x:row r="5">
      <x:c r="A5" s="26" t="str">
        <x:v>开始日期</x:v>
      </x:c>
      <x:c r="B5" s="27" t="n">
        <x:v>46181</x:v>
      </x:c>
      <x:c r="C5" s="26" t="str">
        <x:v>请填周一；修改后日期和星期会同步变化</x:v>
      </x:c>
      <x:c r="E5" s="22" t="str">
        <x:v>周末休</x:v>
      </x:c>
      <x:c r="F5" s="22" t="str">
        <x:v>白班</x:v>
      </x:c>
      <x:c r="G5" s="22" t="str">
        <x:v>白班</x:v>
      </x:c>
      <x:c r="H5" s="22" t="str">
        <x:v>晚班</x:v>
      </x:c>
      <x:c r="I5" s="22" t="str">
        <x:v>晚班</x:v>
      </x:c>
      <x:c r="J5" s="22" t="str">
        <x:v>晚班</x:v>
      </x:c>
      <x:c r="K5" s="22" t="str">
        <x:v>休假</x:v>
      </x:c>
      <x:c r="L5" s="22" t="str">
        <x:v>休假</x:v>
      </x:c>
    </x:row>
    <x:row r="6">
      <x:c r="A6" s="26" t="str">
        <x:v>开始日期检查</x:v>
      </x:c>
      <x:c r="B6" s="28" t="str">
        <x:f>IF(WEEKDAY(B5,2)=1,"OK：周一","请改成周一")</x:f>
        <x:v>OK：周一</x:v>
      </x:c>
      <x:c r="C6" s="26" t="str">
        <x:v>如果不是周一，班次模板会错位</x:v>
      </x:c>
      <x:c r="E6" s="22" t="str">
        <x:v>周二三休</x:v>
      </x:c>
      <x:c r="F6" s="22" t="str">
        <x:v>白班</x:v>
      </x:c>
      <x:c r="G6" s="22" t="str">
        <x:v>休假</x:v>
      </x:c>
      <x:c r="H6" s="22" t="str">
        <x:v>休假</x:v>
      </x:c>
      <x:c r="I6" s="22" t="str">
        <x:v>白班</x:v>
      </x:c>
      <x:c r="J6" s="22" t="str">
        <x:v>白班</x:v>
      </x:c>
      <x:c r="K6" s="22" t="str">
        <x:v>晚班</x:v>
      </x:c>
      <x:c r="L6" s="22" t="str">
        <x:v>晚班</x:v>
      </x:c>
    </x:row>
    <x:row r="7">
      <x:c r="A7" s="26" t="str">
        <x:v>员工1</x:v>
      </x:c>
      <x:c r="B7" s="28" t="str">
        <x:v>客服A</x:v>
      </x:c>
      <x:c r="C7" s="26" t="str">
        <x:v>周末休</x:v>
      </x:c>
      <x:c r="E7" s="22" t="str">
        <x:v>周四五休A</x:v>
      </x:c>
      <x:c r="F7" s="22" t="str">
        <x:v>晚班</x:v>
      </x:c>
      <x:c r="G7" s="22" t="str">
        <x:v>白班</x:v>
      </x:c>
      <x:c r="H7" s="22" t="str">
        <x:v>白班</x:v>
      </x:c>
      <x:c r="I7" s="22" t="str">
        <x:v>休假</x:v>
      </x:c>
      <x:c r="J7" s="22" t="str">
        <x:v>休假</x:v>
      </x:c>
      <x:c r="K7" s="22" t="str">
        <x:v>晚班</x:v>
      </x:c>
      <x:c r="L7" s="22" t="str">
        <x:v>晚班</x:v>
      </x:c>
    </x:row>
    <x:row r="8">
      <x:c r="A8" s="26" t="str">
        <x:v>员工2</x:v>
      </x:c>
      <x:c r="B8" s="28" t="str">
        <x:v>客服B</x:v>
      </x:c>
      <x:c r="C8" s="26" t="str">
        <x:v>周二三休</x:v>
      </x:c>
      <x:c r="E8" s="22" t="str">
        <x:v>周四五休B</x:v>
      </x:c>
      <x:c r="F8" s="22" t="str">
        <x:v>晚班</x:v>
      </x:c>
      <x:c r="G8" s="22" t="str">
        <x:v>晚班</x:v>
      </x:c>
      <x:c r="H8" s="22" t="str">
        <x:v>晚班</x:v>
      </x:c>
      <x:c r="I8" s="22" t="str">
        <x:v>休假</x:v>
      </x:c>
      <x:c r="J8" s="22" t="str">
        <x:v>休假</x:v>
      </x:c>
      <x:c r="K8" s="22" t="str">
        <x:v>白班</x:v>
      </x:c>
      <x:c r="L8" s="22" t="str">
        <x:v>白班</x:v>
      </x:c>
    </x:row>
    <x:row r="9">
      <x:c r="A9" s="26" t="str">
        <x:v>员工3</x:v>
      </x:c>
      <x:c r="B9" s="28" t="str">
        <x:v>客服C</x:v>
      </x:c>
      <x:c r="C9" s="26" t="str">
        <x:v>周四五休A / 下一个休周末</x:v>
      </x:c>
    </x:row>
    <x:row r="10">
      <x:c r="A10" s="26" t="str">
        <x:v>员工4</x:v>
      </x:c>
      <x:c r="B10" s="28" t="str">
        <x:v>客服D</x:v>
      </x:c>
      <x:c r="C10" s="26" t="str">
        <x:v>周四五休B</x:v>
      </x:c>
      <x:c r="E10" s="33" t="str">
        <x:v>轮换规则</x:v>
      </x:c>
      <x:c r="F10" s="33" t="str">
        <x:v>本周末休</x:v>
      </x:c>
      <x:c r="G10" s="33" t="str">
        <x:v>周二三休</x:v>
      </x:c>
      <x:c r="H10" s="33" t="str">
        <x:v>周四五休A</x:v>
      </x:c>
      <x:c r="I10" s="33" t="str">
        <x:v>周四五休B</x:v>
      </x:c>
      <x:c r="J10" s="33" t="str"/>
      <x:c r="K10" s="33" t="str"/>
      <x:c r="L10" s="33" t="str"/>
    </x:row>
    <x:row r="11">
      <x:c r="E11" s="26" t="str">
        <x:v>常规周</x:v>
      </x:c>
      <x:c r="F11" s="26" t="str">
        <x:v>固定 4 周</x:v>
      </x:c>
      <x:c r="G11" s="26" t="str">
        <x:v>固定 4 周</x:v>
      </x:c>
      <x:c r="H11" s="26" t="str">
        <x:v>固定 4 周</x:v>
      </x:c>
      <x:c r="I11" s="26" t="str">
        <x:v>固定 4 周</x:v>
      </x:c>
      <x:c r="J11" s="26" t="str"/>
      <x:c r="K11" s="26" t="str"/>
      <x:c r="L11" s="26" t="str"/>
    </x:row>
    <x:row r="12">
      <x:c r="E12" s="26" t="str">
        <x:v>换休周</x:v>
      </x:c>
      <x:c r="F12" s="26" t="str">
        <x:v>由原周四五休A接手</x:v>
      </x:c>
      <x:c r="G12" s="26" t="str">
        <x:v>由原周四五休B暂代</x:v>
      </x:c>
      <x:c r="H12" s="26" t="str">
        <x:v>原周末休的人连上3天后休周四五</x:v>
      </x:c>
      <x:c r="I12" s="26" t="str">
        <x:v>由原周二三休暂代</x:v>
      </x:c>
      <x:c r="J12" s="26" t="str"/>
      <x:c r="K12" s="26" t="str"/>
      <x:c r="L12" s="26" t="str"/>
    </x:row>
    <x:row r="13">
      <x:c r="E13" s="26" t="str">
        <x:v>换休周后</x:v>
      </x:c>
      <x:c r="F13" s="26" t="str">
        <x:v>新周末休固定 4 周</x:v>
      </x:c>
      <x:c r="G13" s="26" t="str">
        <x:v>原周末休进入周二三休</x:v>
      </x:c>
      <x:c r="H13" s="26" t="str">
        <x:v>原周四五休B进入周四五休A</x:v>
      </x:c>
      <x:c r="I13" s="26" t="str">
        <x:v>原周二三休进入周四五休B</x:v>
      </x:c>
      <x:c r="J13" s="26" t="str"/>
      <x:c r="K13" s="26" t="str"/>
      <x:c r="L13" s="26" t="str"/>
    </x:row>
    <x:row r="14">
      <x:c r="E14" s="26" t="str">
        <x:v>周末轮换顺序</x:v>
      </x:c>
      <x:c r="F14" s="26" t="str">
        <x:v>A -&gt; C -&gt; D -&gt; B -&gt; A</x:v>
      </x:c>
      <x:c r="G14" s="26" t="str">
        <x:v>可按实际人员重命名</x:v>
      </x:c>
      <x:c r="H14" s="26" t="str"/>
      <x:c r="I14" s="26" t="str"/>
      <x:c r="J14" s="26" t="str"/>
      <x:c r="K14" s="26" t="str"/>
      <x:c r="L14" s="26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.5" hidden="0" customWidth="1"/>
    <x:col min="3" max="3" width="6.5" hidden="0" customWidth="1"/>
    <x:col min="4" max="4" width="8.75" hidden="0" customWidth="1"/>
    <x:col min="5" max="5" width="10.2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</x:cols>
  <x:sheetData>
    <x:row r="1" ht="22.5" customHeight="1">
      <x:c r="A1" s="4" t="str">
        <x:v>16周客服排班表</x:v>
      </x:c>
      <x:c r="B1" s="4"/>
      <x:c r="C1" s="4"/>
      <x:c r="D1" s="4"/>
      <x:c r="E1" s="4"/>
      <x:c r="F1" s="4"/>
      <x:c r="G1" s="4"/>
      <x:c r="H1" s="4"/>
      <x:c r="I1" s="4"/>
    </x:row>
    <x:row r="2" ht="40.5" customHeight="1">
      <x:c r="A2" s="8" t="str">
        <x:v>“换休周”表示周末休息人员切换的过渡周。默认逻辑基于 4 人制：1人休周末、1人休周二三、2人休周四五。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40" t="str">
        <x:v>日期</x:v>
      </x:c>
      <x:c r="B4" s="40" t="str">
        <x:v>星期</x:v>
      </x:c>
      <x:c r="C4" s="40" t="str">
        <x:v>周次</x:v>
      </x:c>
      <x:c r="D4" s="40" t="str">
        <x:v>4周周期</x:v>
      </x:c>
      <x:c r="E4" s="40" t="str">
        <x:v>周类型</x:v>
      </x:c>
      <x:c r="F4" s="40" t="str">
        <x:v>客服A</x:v>
      </x:c>
      <x:c r="G4" s="40" t="str">
        <x:v>客服B</x:v>
      </x:c>
      <x:c r="H4" s="40" t="str">
        <x:v>客服C</x:v>
      </x:c>
      <x:c r="I4" s="40" t="str">
        <x:v>客服D</x:v>
      </x:c>
    </x:row>
    <x:row r="5">
      <x:c r="A5" s="41" t="str"/>
      <x:c r="B5" s="41" t="str"/>
      <x:c r="C5" s="41" t="str"/>
      <x:c r="D5" s="41" t="str"/>
      <x:c r="E5" s="41" t="str">
        <x:v>初始角色</x:v>
      </x:c>
      <x:c r="F5" s="41" t="str">
        <x:v>周末休</x:v>
      </x:c>
      <x:c r="G5" s="41" t="str">
        <x:v>周二三休</x:v>
      </x:c>
      <x:c r="H5" s="41" t="str">
        <x:v>周四五休A</x:v>
      </x:c>
      <x:c r="I5" s="41" t="str">
        <x:v>周四五休B</x:v>
      </x:c>
    </x:row>
    <x:row r="6">
      <x:c r="A6" s="43" t="str">
        <x:f>MONTH('配置'!$B$5+0)&amp;"月"&amp;DAY('配置'!$B$5+0)&amp;"日"</x:f>
        <x:v>6月8日</x:v>
      </x:c>
      <x:c r="B6" s="43" t="str">
        <x:f>CHOOSE(WEEKDAY('配置'!$B$5+0,2),"周一","周二","周三","周四","周五","周六","周日")</x:f>
        <x:v>周一</x:v>
      </x:c>
      <x:c r="C6" s="43" t="n">
        <x:v>1</x:v>
      </x:c>
      <x:c r="D6" s="43" t="n">
        <x:v>1</x:v>
      </x:c>
      <x:c r="E6" s="43" t="str">
        <x:v>常规周</x:v>
      </x:c>
      <x:c r="F6" s="43" t="str">
        <x:v>白班</x:v>
      </x:c>
      <x:c r="G6" s="43" t="str">
        <x:v>白班</x:v>
      </x:c>
      <x:c r="H6" s="43" t="str">
        <x:v>晚班</x:v>
      </x:c>
      <x:c r="I6" s="43" t="str">
        <x:v>晚班</x:v>
      </x:c>
    </x:row>
    <x:row r="7">
      <x:c r="A7" s="42" t="str">
        <x:f>MONTH('配置'!$B$5+1)&amp;"月"&amp;DAY('配置'!$B$5+1)&amp;"日"</x:f>
        <x:v>6月9日</x:v>
      </x:c>
      <x:c r="B7" s="42" t="str">
        <x:f>CHOOSE(WEEKDAY('配置'!$B$5+1,2),"周一","周二","周三","周四","周五","周六","周日")</x:f>
        <x:v>周二</x:v>
      </x:c>
      <x:c r="C7" s="42" t="n">
        <x:v>1</x:v>
      </x:c>
      <x:c r="D7" s="42" t="n">
        <x:v>1</x:v>
      </x:c>
      <x:c r="E7" s="42" t="str">
        <x:v>常规周</x:v>
      </x:c>
      <x:c r="F7" s="42" t="str">
        <x:v>白班</x:v>
      </x:c>
      <x:c r="G7" s="42" t="str">
        <x:v>休假</x:v>
      </x:c>
      <x:c r="H7" s="42" t="str">
        <x:v>白班</x:v>
      </x:c>
      <x:c r="I7" s="42" t="str">
        <x:v>晚班</x:v>
      </x:c>
    </x:row>
    <x:row r="8">
      <x:c r="A8" s="42" t="str">
        <x:f>MONTH('配置'!$B$5+2)&amp;"月"&amp;DAY('配置'!$B$5+2)&amp;"日"</x:f>
        <x:v>6月10日</x:v>
      </x:c>
      <x:c r="B8" s="42" t="str">
        <x:f>CHOOSE(WEEKDAY('配置'!$B$5+2,2),"周一","周二","周三","周四","周五","周六","周日")</x:f>
        <x:v>周三</x:v>
      </x:c>
      <x:c r="C8" s="42" t="n">
        <x:v>1</x:v>
      </x:c>
      <x:c r="D8" s="42" t="n">
        <x:v>1</x:v>
      </x:c>
      <x:c r="E8" s="42" t="str">
        <x:v>常规周</x:v>
      </x:c>
      <x:c r="F8" s="42" t="str">
        <x:v>晚班</x:v>
      </x:c>
      <x:c r="G8" s="42" t="str">
        <x:v>休假</x:v>
      </x:c>
      <x:c r="H8" s="42" t="str">
        <x:v>白班</x:v>
      </x:c>
      <x:c r="I8" s="42" t="str">
        <x:v>晚班</x:v>
      </x:c>
    </x:row>
    <x:row r="9">
      <x:c r="A9" s="42" t="str">
        <x:f>MONTH('配置'!$B$5+3)&amp;"月"&amp;DAY('配置'!$B$5+3)&amp;"日"</x:f>
        <x:v>6月11日</x:v>
      </x:c>
      <x:c r="B9" s="42" t="str">
        <x:f>CHOOSE(WEEKDAY('配置'!$B$5+3,2),"周一","周二","周三","周四","周五","周六","周日")</x:f>
        <x:v>周四</x:v>
      </x:c>
      <x:c r="C9" s="42" t="n">
        <x:v>1</x:v>
      </x:c>
      <x:c r="D9" s="42" t="n">
        <x:v>1</x:v>
      </x:c>
      <x:c r="E9" s="42" t="str">
        <x:v>常规周</x:v>
      </x:c>
      <x:c r="F9" s="42" t="str">
        <x:v>晚班</x:v>
      </x:c>
      <x:c r="G9" s="42" t="str">
        <x:v>白班</x:v>
      </x:c>
      <x:c r="H9" s="42" t="str">
        <x:v>休假</x:v>
      </x:c>
      <x:c r="I9" s="42" t="str">
        <x:v>休假</x:v>
      </x:c>
    </x:row>
    <x:row r="10">
      <x:c r="A10" s="42" t="str">
        <x:f>MONTH('配置'!$B$5+4)&amp;"月"&amp;DAY('配置'!$B$5+4)&amp;"日"</x:f>
        <x:v>6月12日</x:v>
      </x:c>
      <x:c r="B10" s="42" t="str">
        <x:f>CHOOSE(WEEKDAY('配置'!$B$5+4,2),"周一","周二","周三","周四","周五","周六","周日")</x:f>
        <x:v>周五</x:v>
      </x:c>
      <x:c r="C10" s="42" t="n">
        <x:v>1</x:v>
      </x:c>
      <x:c r="D10" s="42" t="n">
        <x:v>1</x:v>
      </x:c>
      <x:c r="E10" s="42" t="str">
        <x:v>常规周</x:v>
      </x:c>
      <x:c r="F10" s="42" t="str">
        <x:v>晚班</x:v>
      </x:c>
      <x:c r="G10" s="42" t="str">
        <x:v>白班</x:v>
      </x:c>
      <x:c r="H10" s="42" t="str">
        <x:v>休假</x:v>
      </x:c>
      <x:c r="I10" s="42" t="str">
        <x:v>休假</x:v>
      </x:c>
    </x:row>
    <x:row r="11">
      <x:c r="A11" s="42" t="str">
        <x:f>MONTH('配置'!$B$5+5)&amp;"月"&amp;DAY('配置'!$B$5+5)&amp;"日"</x:f>
        <x:v>6月13日</x:v>
      </x:c>
      <x:c r="B11" s="42" t="str">
        <x:f>CHOOSE(WEEKDAY('配置'!$B$5+5,2),"周一","周二","周三","周四","周五","周六","周日")</x:f>
        <x:v>周六</x:v>
      </x:c>
      <x:c r="C11" s="42" t="n">
        <x:v>1</x:v>
      </x:c>
      <x:c r="D11" s="42" t="n">
        <x:v>1</x:v>
      </x:c>
      <x:c r="E11" s="42" t="str">
        <x:v>常规周</x:v>
      </x:c>
      <x:c r="F11" s="42" t="str">
        <x:v>休假</x:v>
      </x:c>
      <x:c r="G11" s="42" t="str">
        <x:v>晚班</x:v>
      </x:c>
      <x:c r="H11" s="42" t="str">
        <x:v>晚班</x:v>
      </x:c>
      <x:c r="I11" s="42" t="str">
        <x:v>白班</x:v>
      </x:c>
    </x:row>
    <x:row r="12">
      <x:c r="A12" s="42" t="str">
        <x:f>MONTH('配置'!$B$5+6)&amp;"月"&amp;DAY('配置'!$B$5+6)&amp;"日"</x:f>
        <x:v>6月14日</x:v>
      </x:c>
      <x:c r="B12" s="42" t="str">
        <x:f>CHOOSE(WEEKDAY('配置'!$B$5+6,2),"周一","周二","周三","周四","周五","周六","周日")</x:f>
        <x:v>周日</x:v>
      </x:c>
      <x:c r="C12" s="42" t="n">
        <x:v>1</x:v>
      </x:c>
      <x:c r="D12" s="42" t="n">
        <x:v>1</x:v>
      </x:c>
      <x:c r="E12" s="42" t="str">
        <x:v>常规周</x:v>
      </x:c>
      <x:c r="F12" s="42" t="str">
        <x:v>休假</x:v>
      </x:c>
      <x:c r="G12" s="42" t="str">
        <x:v>晚班</x:v>
      </x:c>
      <x:c r="H12" s="42" t="str">
        <x:v>晚班</x:v>
      </x:c>
      <x:c r="I12" s="42" t="str">
        <x:v>白班</x:v>
      </x:c>
    </x:row>
    <x:row r="13">
      <x:c r="A13" s="43" t="str">
        <x:f>MONTH('配置'!$B$5+7)&amp;"月"&amp;DAY('配置'!$B$5+7)&amp;"日"</x:f>
        <x:v>6月15日</x:v>
      </x:c>
      <x:c r="B13" s="43" t="str">
        <x:f>CHOOSE(WEEKDAY('配置'!$B$5+7,2),"周一","周二","周三","周四","周五","周六","周日")</x:f>
        <x:v>周一</x:v>
      </x:c>
      <x:c r="C13" s="43" t="n">
        <x:v>2</x:v>
      </x:c>
      <x:c r="D13" s="43" t="n">
        <x:v>1</x:v>
      </x:c>
      <x:c r="E13" s="43" t="str">
        <x:v>常规周</x:v>
      </x:c>
      <x:c r="F13" s="43" t="str">
        <x:v>白班</x:v>
      </x:c>
      <x:c r="G13" s="43" t="str">
        <x:v>白班</x:v>
      </x:c>
      <x:c r="H13" s="43" t="str">
        <x:v>晚班</x:v>
      </x:c>
      <x:c r="I13" s="43" t="str">
        <x:v>晚班</x:v>
      </x:c>
    </x:row>
    <x:row r="14">
      <x:c r="A14" s="42" t="str">
        <x:f>MONTH('配置'!$B$5+8)&amp;"月"&amp;DAY('配置'!$B$5+8)&amp;"日"</x:f>
        <x:v>6月16日</x:v>
      </x:c>
      <x:c r="B14" s="42" t="str">
        <x:f>CHOOSE(WEEKDAY('配置'!$B$5+8,2),"周一","周二","周三","周四","周五","周六","周日")</x:f>
        <x:v>周二</x:v>
      </x:c>
      <x:c r="C14" s="42" t="n">
        <x:v>2</x:v>
      </x:c>
      <x:c r="D14" s="42" t="n">
        <x:v>1</x:v>
      </x:c>
      <x:c r="E14" s="42" t="str">
        <x:v>常规周</x:v>
      </x:c>
      <x:c r="F14" s="42" t="str">
        <x:v>白班</x:v>
      </x:c>
      <x:c r="G14" s="42" t="str">
        <x:v>休假</x:v>
      </x:c>
      <x:c r="H14" s="42" t="str">
        <x:v>白班</x:v>
      </x:c>
      <x:c r="I14" s="42" t="str">
        <x:v>晚班</x:v>
      </x:c>
    </x:row>
    <x:row r="15">
      <x:c r="A15" s="42" t="str">
        <x:f>MONTH('配置'!$B$5+9)&amp;"月"&amp;DAY('配置'!$B$5+9)&amp;"日"</x:f>
        <x:v>6月17日</x:v>
      </x:c>
      <x:c r="B15" s="42" t="str">
        <x:f>CHOOSE(WEEKDAY('配置'!$B$5+9,2),"周一","周二","周三","周四","周五","周六","周日")</x:f>
        <x:v>周三</x:v>
      </x:c>
      <x:c r="C15" s="42" t="n">
        <x:v>2</x:v>
      </x:c>
      <x:c r="D15" s="42" t="n">
        <x:v>1</x:v>
      </x:c>
      <x:c r="E15" s="42" t="str">
        <x:v>常规周</x:v>
      </x:c>
      <x:c r="F15" s="42" t="str">
        <x:v>晚班</x:v>
      </x:c>
      <x:c r="G15" s="42" t="str">
        <x:v>休假</x:v>
      </x:c>
      <x:c r="H15" s="42" t="str">
        <x:v>白班</x:v>
      </x:c>
      <x:c r="I15" s="42" t="str">
        <x:v>晚班</x:v>
      </x:c>
    </x:row>
    <x:row r="16">
      <x:c r="A16" s="42" t="str">
        <x:f>MONTH('配置'!$B$5+10)&amp;"月"&amp;DAY('配置'!$B$5+10)&amp;"日"</x:f>
        <x:v>6月18日</x:v>
      </x:c>
      <x:c r="B16" s="42" t="str">
        <x:f>CHOOSE(WEEKDAY('配置'!$B$5+10,2),"周一","周二","周三","周四","周五","周六","周日")</x:f>
        <x:v>周四</x:v>
      </x:c>
      <x:c r="C16" s="42" t="n">
        <x:v>2</x:v>
      </x:c>
      <x:c r="D16" s="42" t="n">
        <x:v>1</x:v>
      </x:c>
      <x:c r="E16" s="42" t="str">
        <x:v>常规周</x:v>
      </x:c>
      <x:c r="F16" s="42" t="str">
        <x:v>晚班</x:v>
      </x:c>
      <x:c r="G16" s="42" t="str">
        <x:v>白班</x:v>
      </x:c>
      <x:c r="H16" s="42" t="str">
        <x:v>休假</x:v>
      </x:c>
      <x:c r="I16" s="42" t="str">
        <x:v>休假</x:v>
      </x:c>
    </x:row>
    <x:row r="17">
      <x:c r="A17" s="42" t="str">
        <x:f>MONTH('配置'!$B$5+11)&amp;"月"&amp;DAY('配置'!$B$5+11)&amp;"日"</x:f>
        <x:v>6月19日</x:v>
      </x:c>
      <x:c r="B17" s="42" t="str">
        <x:f>CHOOSE(WEEKDAY('配置'!$B$5+11,2),"周一","周二","周三","周四","周五","周六","周日")</x:f>
        <x:v>周五</x:v>
      </x:c>
      <x:c r="C17" s="42" t="n">
        <x:v>2</x:v>
      </x:c>
      <x:c r="D17" s="42" t="n">
        <x:v>1</x:v>
      </x:c>
      <x:c r="E17" s="42" t="str">
        <x:v>常规周</x:v>
      </x:c>
      <x:c r="F17" s="42" t="str">
        <x:v>晚班</x:v>
      </x:c>
      <x:c r="G17" s="42" t="str">
        <x:v>白班</x:v>
      </x:c>
      <x:c r="H17" s="42" t="str">
        <x:v>休假</x:v>
      </x:c>
      <x:c r="I17" s="42" t="str">
        <x:v>休假</x:v>
      </x:c>
    </x:row>
    <x:row r="18">
      <x:c r="A18" s="42" t="str">
        <x:f>MONTH('配置'!$B$5+12)&amp;"月"&amp;DAY('配置'!$B$5+12)&amp;"日"</x:f>
        <x:v>6月20日</x:v>
      </x:c>
      <x:c r="B18" s="42" t="str">
        <x:f>CHOOSE(WEEKDAY('配置'!$B$5+12,2),"周一","周二","周三","周四","周五","周六","周日")</x:f>
        <x:v>周六</x:v>
      </x:c>
      <x:c r="C18" s="42" t="n">
        <x:v>2</x:v>
      </x:c>
      <x:c r="D18" s="42" t="n">
        <x:v>1</x:v>
      </x:c>
      <x:c r="E18" s="42" t="str">
        <x:v>常规周</x:v>
      </x:c>
      <x:c r="F18" s="42" t="str">
        <x:v>休假</x:v>
      </x:c>
      <x:c r="G18" s="42" t="str">
        <x:v>晚班</x:v>
      </x:c>
      <x:c r="H18" s="42" t="str">
        <x:v>晚班</x:v>
      </x:c>
      <x:c r="I18" s="42" t="str">
        <x:v>白班</x:v>
      </x:c>
    </x:row>
    <x:row r="19">
      <x:c r="A19" s="42" t="str">
        <x:f>MONTH('配置'!$B$5+13)&amp;"月"&amp;DAY('配置'!$B$5+13)&amp;"日"</x:f>
        <x:v>6月21日</x:v>
      </x:c>
      <x:c r="B19" s="42" t="str">
        <x:f>CHOOSE(WEEKDAY('配置'!$B$5+13,2),"周一","周二","周三","周四","周五","周六","周日")</x:f>
        <x:v>周日</x:v>
      </x:c>
      <x:c r="C19" s="42" t="n">
        <x:v>2</x:v>
      </x:c>
      <x:c r="D19" s="42" t="n">
        <x:v>1</x:v>
      </x:c>
      <x:c r="E19" s="42" t="str">
        <x:v>常规周</x:v>
      </x:c>
      <x:c r="F19" s="42" t="str">
        <x:v>休假</x:v>
      </x:c>
      <x:c r="G19" s="42" t="str">
        <x:v>晚班</x:v>
      </x:c>
      <x:c r="H19" s="42" t="str">
        <x:v>晚班</x:v>
      </x:c>
      <x:c r="I19" s="42" t="str">
        <x:v>白班</x:v>
      </x:c>
    </x:row>
    <x:row r="20">
      <x:c r="A20" s="43" t="str">
        <x:f>MONTH('配置'!$B$5+14)&amp;"月"&amp;DAY('配置'!$B$5+14)&amp;"日"</x:f>
        <x:v>6月22日</x:v>
      </x:c>
      <x:c r="B20" s="43" t="str">
        <x:f>CHOOSE(WEEKDAY('配置'!$B$5+14,2),"周一","周二","周三","周四","周五","周六","周日")</x:f>
        <x:v>周一</x:v>
      </x:c>
      <x:c r="C20" s="43" t="n">
        <x:v>3</x:v>
      </x:c>
      <x:c r="D20" s="43" t="n">
        <x:v>1</x:v>
      </x:c>
      <x:c r="E20" s="43" t="str">
        <x:v>常规周</x:v>
      </x:c>
      <x:c r="F20" s="43" t="str">
        <x:v>白班</x:v>
      </x:c>
      <x:c r="G20" s="43" t="str">
        <x:v>白班</x:v>
      </x:c>
      <x:c r="H20" s="43" t="str">
        <x:v>晚班</x:v>
      </x:c>
      <x:c r="I20" s="43" t="str">
        <x:v>晚班</x:v>
      </x:c>
    </x:row>
    <x:row r="21">
      <x:c r="A21" s="42" t="str">
        <x:f>MONTH('配置'!$B$5+15)&amp;"月"&amp;DAY('配置'!$B$5+15)&amp;"日"</x:f>
        <x:v>6月23日</x:v>
      </x:c>
      <x:c r="B21" s="42" t="str">
        <x:f>CHOOSE(WEEKDAY('配置'!$B$5+15,2),"周一","周二","周三","周四","周五","周六","周日")</x:f>
        <x:v>周二</x:v>
      </x:c>
      <x:c r="C21" s="42" t="n">
        <x:v>3</x:v>
      </x:c>
      <x:c r="D21" s="42" t="n">
        <x:v>1</x:v>
      </x:c>
      <x:c r="E21" s="42" t="str">
        <x:v>常规周</x:v>
      </x:c>
      <x:c r="F21" s="42" t="str">
        <x:v>白班</x:v>
      </x:c>
      <x:c r="G21" s="42" t="str">
        <x:v>休假</x:v>
      </x:c>
      <x:c r="H21" s="42" t="str">
        <x:v>白班</x:v>
      </x:c>
      <x:c r="I21" s="42" t="str">
        <x:v>晚班</x:v>
      </x:c>
    </x:row>
    <x:row r="22">
      <x:c r="A22" s="42" t="str">
        <x:f>MONTH('配置'!$B$5+16)&amp;"月"&amp;DAY('配置'!$B$5+16)&amp;"日"</x:f>
        <x:v>6月24日</x:v>
      </x:c>
      <x:c r="B22" s="42" t="str">
        <x:f>CHOOSE(WEEKDAY('配置'!$B$5+16,2),"周一","周二","周三","周四","周五","周六","周日")</x:f>
        <x:v>周三</x:v>
      </x:c>
      <x:c r="C22" s="42" t="n">
        <x:v>3</x:v>
      </x:c>
      <x:c r="D22" s="42" t="n">
        <x:v>1</x:v>
      </x:c>
      <x:c r="E22" s="42" t="str">
        <x:v>常规周</x:v>
      </x:c>
      <x:c r="F22" s="42" t="str">
        <x:v>晚班</x:v>
      </x:c>
      <x:c r="G22" s="42" t="str">
        <x:v>休假</x:v>
      </x:c>
      <x:c r="H22" s="42" t="str">
        <x:v>白班</x:v>
      </x:c>
      <x:c r="I22" s="42" t="str">
        <x:v>晚班</x:v>
      </x:c>
    </x:row>
    <x:row r="23">
      <x:c r="A23" s="42" t="str">
        <x:f>MONTH('配置'!$B$5+17)&amp;"月"&amp;DAY('配置'!$B$5+17)&amp;"日"</x:f>
        <x:v>6月25日</x:v>
      </x:c>
      <x:c r="B23" s="42" t="str">
        <x:f>CHOOSE(WEEKDAY('配置'!$B$5+17,2),"周一","周二","周三","周四","周五","周六","周日")</x:f>
        <x:v>周四</x:v>
      </x:c>
      <x:c r="C23" s="42" t="n">
        <x:v>3</x:v>
      </x:c>
      <x:c r="D23" s="42" t="n">
        <x:v>1</x:v>
      </x:c>
      <x:c r="E23" s="42" t="str">
        <x:v>常规周</x:v>
      </x:c>
      <x:c r="F23" s="42" t="str">
        <x:v>晚班</x:v>
      </x:c>
      <x:c r="G23" s="42" t="str">
        <x:v>白班</x:v>
      </x:c>
      <x:c r="H23" s="42" t="str">
        <x:v>休假</x:v>
      </x:c>
      <x:c r="I23" s="42" t="str">
        <x:v>休假</x:v>
      </x:c>
    </x:row>
    <x:row r="24">
      <x:c r="A24" s="42" t="str">
        <x:f>MONTH('配置'!$B$5+18)&amp;"月"&amp;DAY('配置'!$B$5+18)&amp;"日"</x:f>
        <x:v>6月26日</x:v>
      </x:c>
      <x:c r="B24" s="42" t="str">
        <x:f>CHOOSE(WEEKDAY('配置'!$B$5+18,2),"周一","周二","周三","周四","周五","周六","周日")</x:f>
        <x:v>周五</x:v>
      </x:c>
      <x:c r="C24" s="42" t="n">
        <x:v>3</x:v>
      </x:c>
      <x:c r="D24" s="42" t="n">
        <x:v>1</x:v>
      </x:c>
      <x:c r="E24" s="42" t="str">
        <x:v>常规周</x:v>
      </x:c>
      <x:c r="F24" s="42" t="str">
        <x:v>晚班</x:v>
      </x:c>
      <x:c r="G24" s="42" t="str">
        <x:v>白班</x:v>
      </x:c>
      <x:c r="H24" s="42" t="str">
        <x:v>休假</x:v>
      </x:c>
      <x:c r="I24" s="42" t="str">
        <x:v>休假</x:v>
      </x:c>
    </x:row>
    <x:row r="25">
      <x:c r="A25" s="42" t="str">
        <x:f>MONTH('配置'!$B$5+19)&amp;"月"&amp;DAY('配置'!$B$5+19)&amp;"日"</x:f>
        <x:v>6月27日</x:v>
      </x:c>
      <x:c r="B25" s="42" t="str">
        <x:f>CHOOSE(WEEKDAY('配置'!$B$5+19,2),"周一","周二","周三","周四","周五","周六","周日")</x:f>
        <x:v>周六</x:v>
      </x:c>
      <x:c r="C25" s="42" t="n">
        <x:v>3</x:v>
      </x:c>
      <x:c r="D25" s="42" t="n">
        <x:v>1</x:v>
      </x:c>
      <x:c r="E25" s="42" t="str">
        <x:v>常规周</x:v>
      </x:c>
      <x:c r="F25" s="42" t="str">
        <x:v>休假</x:v>
      </x:c>
      <x:c r="G25" s="42" t="str">
        <x:v>晚班</x:v>
      </x:c>
      <x:c r="H25" s="42" t="str">
        <x:v>晚班</x:v>
      </x:c>
      <x:c r="I25" s="42" t="str">
        <x:v>白班</x:v>
      </x:c>
    </x:row>
    <x:row r="26">
      <x:c r="A26" s="42" t="str">
        <x:f>MONTH('配置'!$B$5+20)&amp;"月"&amp;DAY('配置'!$B$5+20)&amp;"日"</x:f>
        <x:v>6月28日</x:v>
      </x:c>
      <x:c r="B26" s="42" t="str">
        <x:f>CHOOSE(WEEKDAY('配置'!$B$5+20,2),"周一","周二","周三","周四","周五","周六","周日")</x:f>
        <x:v>周日</x:v>
      </x:c>
      <x:c r="C26" s="42" t="n">
        <x:v>3</x:v>
      </x:c>
      <x:c r="D26" s="42" t="n">
        <x:v>1</x:v>
      </x:c>
      <x:c r="E26" s="42" t="str">
        <x:v>常规周</x:v>
      </x:c>
      <x:c r="F26" s="42" t="str">
        <x:v>休假</x:v>
      </x:c>
      <x:c r="G26" s="42" t="str">
        <x:v>晚班</x:v>
      </x:c>
      <x:c r="H26" s="42" t="str">
        <x:v>晚班</x:v>
      </x:c>
      <x:c r="I26" s="42" t="str">
        <x:v>白班</x:v>
      </x:c>
    </x:row>
    <x:row r="27">
      <x:c r="A27" s="43" t="str">
        <x:f>MONTH('配置'!$B$5+21)&amp;"月"&amp;DAY('配置'!$B$5+21)&amp;"日"</x:f>
        <x:v>6月29日</x:v>
      </x:c>
      <x:c r="B27" s="43" t="str">
        <x:f>CHOOSE(WEEKDAY('配置'!$B$5+21,2),"周一","周二","周三","周四","周五","周六","周日")</x:f>
        <x:v>周一</x:v>
      </x:c>
      <x:c r="C27" s="43" t="n">
        <x:v>4</x:v>
      </x:c>
      <x:c r="D27" s="43" t="n">
        <x:v>1</x:v>
      </x:c>
      <x:c r="E27" s="43" t="str">
        <x:v>常规周</x:v>
      </x:c>
      <x:c r="F27" s="43" t="str">
        <x:v>白班</x:v>
      </x:c>
      <x:c r="G27" s="43" t="str">
        <x:v>白班</x:v>
      </x:c>
      <x:c r="H27" s="43" t="str">
        <x:v>晚班</x:v>
      </x:c>
      <x:c r="I27" s="43" t="str">
        <x:v>晚班</x:v>
      </x:c>
    </x:row>
    <x:row r="28">
      <x:c r="A28" s="42" t="str">
        <x:f>MONTH('配置'!$B$5+22)&amp;"月"&amp;DAY('配置'!$B$5+22)&amp;"日"</x:f>
        <x:v>6月30日</x:v>
      </x:c>
      <x:c r="B28" s="42" t="str">
        <x:f>CHOOSE(WEEKDAY('配置'!$B$5+22,2),"周一","周二","周三","周四","周五","周六","周日")</x:f>
        <x:v>周二</x:v>
      </x:c>
      <x:c r="C28" s="42" t="n">
        <x:v>4</x:v>
      </x:c>
      <x:c r="D28" s="42" t="n">
        <x:v>1</x:v>
      </x:c>
      <x:c r="E28" s="42" t="str">
        <x:v>常规周</x:v>
      </x:c>
      <x:c r="F28" s="42" t="str">
        <x:v>白班</x:v>
      </x:c>
      <x:c r="G28" s="42" t="str">
        <x:v>休假</x:v>
      </x:c>
      <x:c r="H28" s="42" t="str">
        <x:v>白班</x:v>
      </x:c>
      <x:c r="I28" s="42" t="str">
        <x:v>晚班</x:v>
      </x:c>
    </x:row>
    <x:row r="29">
      <x:c r="A29" s="42" t="str">
        <x:f>MONTH('配置'!$B$5+23)&amp;"月"&amp;DAY('配置'!$B$5+23)&amp;"日"</x:f>
        <x:v>7月1日</x:v>
      </x:c>
      <x:c r="B29" s="42" t="str">
        <x:f>CHOOSE(WEEKDAY('配置'!$B$5+23,2),"周一","周二","周三","周四","周五","周六","周日")</x:f>
        <x:v>周三</x:v>
      </x:c>
      <x:c r="C29" s="42" t="n">
        <x:v>4</x:v>
      </x:c>
      <x:c r="D29" s="42" t="n">
        <x:v>1</x:v>
      </x:c>
      <x:c r="E29" s="42" t="str">
        <x:v>常规周</x:v>
      </x:c>
      <x:c r="F29" s="42" t="str">
        <x:v>晚班</x:v>
      </x:c>
      <x:c r="G29" s="42" t="str">
        <x:v>休假</x:v>
      </x:c>
      <x:c r="H29" s="42" t="str">
        <x:v>白班</x:v>
      </x:c>
      <x:c r="I29" s="42" t="str">
        <x:v>晚班</x:v>
      </x:c>
    </x:row>
    <x:row r="30">
      <x:c r="A30" s="42" t="str">
        <x:f>MONTH('配置'!$B$5+24)&amp;"月"&amp;DAY('配置'!$B$5+24)&amp;"日"</x:f>
        <x:v>7月2日</x:v>
      </x:c>
      <x:c r="B30" s="42" t="str">
        <x:f>CHOOSE(WEEKDAY('配置'!$B$5+24,2),"周一","周二","周三","周四","周五","周六","周日")</x:f>
        <x:v>周四</x:v>
      </x:c>
      <x:c r="C30" s="42" t="n">
        <x:v>4</x:v>
      </x:c>
      <x:c r="D30" s="42" t="n">
        <x:v>1</x:v>
      </x:c>
      <x:c r="E30" s="42" t="str">
        <x:v>常规周</x:v>
      </x:c>
      <x:c r="F30" s="42" t="str">
        <x:v>晚班</x:v>
      </x:c>
      <x:c r="G30" s="42" t="str">
        <x:v>白班</x:v>
      </x:c>
      <x:c r="H30" s="42" t="str">
        <x:v>休假</x:v>
      </x:c>
      <x:c r="I30" s="42" t="str">
        <x:v>休假</x:v>
      </x:c>
    </x:row>
    <x:row r="31">
      <x:c r="A31" s="42" t="str">
        <x:f>MONTH('配置'!$B$5+25)&amp;"月"&amp;DAY('配置'!$B$5+25)&amp;"日"</x:f>
        <x:v>7月3日</x:v>
      </x:c>
      <x:c r="B31" s="42" t="str">
        <x:f>CHOOSE(WEEKDAY('配置'!$B$5+25,2),"周一","周二","周三","周四","周五","周六","周日")</x:f>
        <x:v>周五</x:v>
      </x:c>
      <x:c r="C31" s="42" t="n">
        <x:v>4</x:v>
      </x:c>
      <x:c r="D31" s="42" t="n">
        <x:v>1</x:v>
      </x:c>
      <x:c r="E31" s="42" t="str">
        <x:v>常规周</x:v>
      </x:c>
      <x:c r="F31" s="42" t="str">
        <x:v>晚班</x:v>
      </x:c>
      <x:c r="G31" s="42" t="str">
        <x:v>白班</x:v>
      </x:c>
      <x:c r="H31" s="42" t="str">
        <x:v>休假</x:v>
      </x:c>
      <x:c r="I31" s="42" t="str">
        <x:v>休假</x:v>
      </x:c>
    </x:row>
    <x:row r="32">
      <x:c r="A32" s="42" t="str">
        <x:f>MONTH('配置'!$B$5+26)&amp;"月"&amp;DAY('配置'!$B$5+26)&amp;"日"</x:f>
        <x:v>7月4日</x:v>
      </x:c>
      <x:c r="B32" s="42" t="str">
        <x:f>CHOOSE(WEEKDAY('配置'!$B$5+26,2),"周一","周二","周三","周四","周五","周六","周日")</x:f>
        <x:v>周六</x:v>
      </x:c>
      <x:c r="C32" s="42" t="n">
        <x:v>4</x:v>
      </x:c>
      <x:c r="D32" s="42" t="n">
        <x:v>1</x:v>
      </x:c>
      <x:c r="E32" s="42" t="str">
        <x:v>常规周</x:v>
      </x:c>
      <x:c r="F32" s="42" t="str">
        <x:v>休假</x:v>
      </x:c>
      <x:c r="G32" s="42" t="str">
        <x:v>晚班</x:v>
      </x:c>
      <x:c r="H32" s="42" t="str">
        <x:v>晚班</x:v>
      </x:c>
      <x:c r="I32" s="42" t="str">
        <x:v>白班</x:v>
      </x:c>
    </x:row>
    <x:row r="33">
      <x:c r="A33" s="42" t="str">
        <x:f>MONTH('配置'!$B$5+27)&amp;"月"&amp;DAY('配置'!$B$5+27)&amp;"日"</x:f>
        <x:v>7月5日</x:v>
      </x:c>
      <x:c r="B33" s="42" t="str">
        <x:f>CHOOSE(WEEKDAY('配置'!$B$5+27,2),"周一","周二","周三","周四","周五","周六","周日")</x:f>
        <x:v>周日</x:v>
      </x:c>
      <x:c r="C33" s="42" t="n">
        <x:v>4</x:v>
      </x:c>
      <x:c r="D33" s="42" t="n">
        <x:v>1</x:v>
      </x:c>
      <x:c r="E33" s="42" t="str">
        <x:v>常规周</x:v>
      </x:c>
      <x:c r="F33" s="42" t="str">
        <x:v>休假</x:v>
      </x:c>
      <x:c r="G33" s="42" t="str">
        <x:v>晚班</x:v>
      </x:c>
      <x:c r="H33" s="42" t="str">
        <x:v>晚班</x:v>
      </x:c>
      <x:c r="I33" s="42" t="str">
        <x:v>白班</x:v>
      </x:c>
    </x:row>
    <x:row r="34">
      <x:c r="A34" s="43" t="str">
        <x:f>MONTH('配置'!$B$5+28)&amp;"月"&amp;DAY('配置'!$B$5+28)&amp;"日"</x:f>
        <x:v>7月6日</x:v>
      </x:c>
      <x:c r="B34" s="43" t="str">
        <x:f>CHOOSE(WEEKDAY('配置'!$B$5+28,2),"周一","周二","周三","周四","周五","周六","周日")</x:f>
        <x:v>周一</x:v>
      </x:c>
      <x:c r="C34" s="43" t="n">
        <x:v>5</x:v>
      </x:c>
      <x:c r="D34" s="43" t="n">
        <x:v>2</x:v>
      </x:c>
      <x:c r="E34" s="43" t="str">
        <x:v>换休周</x:v>
      </x:c>
      <x:c r="F34" s="43" t="str">
        <x:v>晚班</x:v>
      </x:c>
      <x:c r="G34" s="43" t="str">
        <x:v>晚班</x:v>
      </x:c>
      <x:c r="H34" s="43" t="str">
        <x:v>白班</x:v>
      </x:c>
      <x:c r="I34" s="43" t="str">
        <x:v>白班</x:v>
      </x:c>
    </x:row>
    <x:row r="35">
      <x:c r="A35" s="42" t="str">
        <x:f>MONTH('配置'!$B$5+29)&amp;"月"&amp;DAY('配置'!$B$5+29)&amp;"日"</x:f>
        <x:v>7月7日</x:v>
      </x:c>
      <x:c r="B35" s="42" t="str">
        <x:f>CHOOSE(WEEKDAY('配置'!$B$5+29,2),"周一","周二","周三","周四","周五","周六","周日")</x:f>
        <x:v>周二</x:v>
      </x:c>
      <x:c r="C35" s="42" t="n">
        <x:v>5</x:v>
      </x:c>
      <x:c r="D35" s="42" t="n">
        <x:v>2</x:v>
      </x:c>
      <x:c r="E35" s="42" t="str">
        <x:v>换休周</x:v>
      </x:c>
      <x:c r="F35" s="42" t="str">
        <x:v>白班</x:v>
      </x:c>
      <x:c r="G35" s="42" t="str">
        <x:v>晚班</x:v>
      </x:c>
      <x:c r="H35" s="42" t="str">
        <x:v>白班</x:v>
      </x:c>
      <x:c r="I35" s="42" t="str">
        <x:v>休假</x:v>
      </x:c>
    </x:row>
    <x:row r="36">
      <x:c r="A36" s="42" t="str">
        <x:f>MONTH('配置'!$B$5+30)&amp;"月"&amp;DAY('配置'!$B$5+30)&amp;"日"</x:f>
        <x:v>7月8日</x:v>
      </x:c>
      <x:c r="B36" s="42" t="str">
        <x:f>CHOOSE(WEEKDAY('配置'!$B$5+30,2),"周一","周二","周三","周四","周五","周六","周日")</x:f>
        <x:v>周三</x:v>
      </x:c>
      <x:c r="C36" s="42" t="n">
        <x:v>5</x:v>
      </x:c>
      <x:c r="D36" s="42" t="n">
        <x:v>2</x:v>
      </x:c>
      <x:c r="E36" s="42" t="str">
        <x:v>换休周</x:v>
      </x:c>
      <x:c r="F36" s="42" t="str">
        <x:v>白班</x:v>
      </x:c>
      <x:c r="G36" s="42" t="str">
        <x:v>晚班</x:v>
      </x:c>
      <x:c r="H36" s="42" t="str">
        <x:v>晚班</x:v>
      </x:c>
      <x:c r="I36" s="42" t="str">
        <x:v>休假</x:v>
      </x:c>
    </x:row>
    <x:row r="37">
      <x:c r="A37" s="42" t="str">
        <x:f>MONTH('配置'!$B$5+31)&amp;"月"&amp;DAY('配置'!$B$5+31)&amp;"日"</x:f>
        <x:v>7月9日</x:v>
      </x:c>
      <x:c r="B37" s="42" t="str">
        <x:f>CHOOSE(WEEKDAY('配置'!$B$5+31,2),"周一","周二","周三","周四","周五","周六","周日")</x:f>
        <x:v>周四</x:v>
      </x:c>
      <x:c r="C37" s="42" t="n">
        <x:v>5</x:v>
      </x:c>
      <x:c r="D37" s="42" t="n">
        <x:v>2</x:v>
      </x:c>
      <x:c r="E37" s="42" t="str">
        <x:v>换休周</x:v>
      </x:c>
      <x:c r="F37" s="42" t="str">
        <x:v>休假</x:v>
      </x:c>
      <x:c r="G37" s="42" t="str">
        <x:v>休假</x:v>
      </x:c>
      <x:c r="H37" s="42" t="str">
        <x:v>晚班</x:v>
      </x:c>
      <x:c r="I37" s="42" t="str">
        <x:v>白班</x:v>
      </x:c>
    </x:row>
    <x:row r="38">
      <x:c r="A38" s="42" t="str">
        <x:f>MONTH('配置'!$B$5+32)&amp;"月"&amp;DAY('配置'!$B$5+32)&amp;"日"</x:f>
        <x:v>7月10日</x:v>
      </x:c>
      <x:c r="B38" s="42" t="str">
        <x:f>CHOOSE(WEEKDAY('配置'!$B$5+32,2),"周一","周二","周三","周四","周五","周六","周日")</x:f>
        <x:v>周五</x:v>
      </x:c>
      <x:c r="C38" s="42" t="n">
        <x:v>5</x:v>
      </x:c>
      <x:c r="D38" s="42" t="n">
        <x:v>2</x:v>
      </x:c>
      <x:c r="E38" s="42" t="str">
        <x:v>换休周</x:v>
      </x:c>
      <x:c r="F38" s="42" t="str">
        <x:v>休假</x:v>
      </x:c>
      <x:c r="G38" s="42" t="str">
        <x:v>休假</x:v>
      </x:c>
      <x:c r="H38" s="42" t="str">
        <x:v>晚班</x:v>
      </x:c>
      <x:c r="I38" s="42" t="str">
        <x:v>白班</x:v>
      </x:c>
    </x:row>
    <x:row r="39">
      <x:c r="A39" s="42" t="str">
        <x:f>MONTH('配置'!$B$5+33)&amp;"月"&amp;DAY('配置'!$B$5+33)&amp;"日"</x:f>
        <x:v>7月11日</x:v>
      </x:c>
      <x:c r="B39" s="42" t="str">
        <x:f>CHOOSE(WEEKDAY('配置'!$B$5+33,2),"周一","周二","周三","周四","周五","周六","周日")</x:f>
        <x:v>周六</x:v>
      </x:c>
      <x:c r="C39" s="42" t="n">
        <x:v>5</x:v>
      </x:c>
      <x:c r="D39" s="42" t="n">
        <x:v>2</x:v>
      </x:c>
      <x:c r="E39" s="42" t="str">
        <x:v>换休周</x:v>
      </x:c>
      <x:c r="F39" s="42" t="str">
        <x:v>晚班</x:v>
      </x:c>
      <x:c r="G39" s="42" t="str">
        <x:v>白班</x:v>
      </x:c>
      <x:c r="H39" s="42" t="str">
        <x:v>休假</x:v>
      </x:c>
      <x:c r="I39" s="42" t="str">
        <x:v>晚班</x:v>
      </x:c>
    </x:row>
    <x:row r="40">
      <x:c r="A40" s="42" t="str">
        <x:f>MONTH('配置'!$B$5+34)&amp;"月"&amp;DAY('配置'!$B$5+34)&amp;"日"</x:f>
        <x:v>7月12日</x:v>
      </x:c>
      <x:c r="B40" s="42" t="str">
        <x:f>CHOOSE(WEEKDAY('配置'!$B$5+34,2),"周一","周二","周三","周四","周五","周六","周日")</x:f>
        <x:v>周日</x:v>
      </x:c>
      <x:c r="C40" s="42" t="n">
        <x:v>5</x:v>
      </x:c>
      <x:c r="D40" s="42" t="n">
        <x:v>2</x:v>
      </x:c>
      <x:c r="E40" s="42" t="str">
        <x:v>换休周</x:v>
      </x:c>
      <x:c r="F40" s="42" t="str">
        <x:v>晚班</x:v>
      </x:c>
      <x:c r="G40" s="42" t="str">
        <x:v>白班</x:v>
      </x:c>
      <x:c r="H40" s="42" t="str">
        <x:v>休假</x:v>
      </x:c>
      <x:c r="I40" s="42" t="str">
        <x:v>晚班</x:v>
      </x:c>
    </x:row>
    <x:row r="41">
      <x:c r="A41" s="43" t="str">
        <x:f>MONTH('配置'!$B$5+35)&amp;"月"&amp;DAY('配置'!$B$5+35)&amp;"日"</x:f>
        <x:v>7月13日</x:v>
      </x:c>
      <x:c r="B41" s="43" t="str">
        <x:f>CHOOSE(WEEKDAY('配置'!$B$5+35,2),"周一","周二","周三","周四","周五","周六","周日")</x:f>
        <x:v>周一</x:v>
      </x:c>
      <x:c r="C41" s="43" t="n">
        <x:v>6</x:v>
      </x:c>
      <x:c r="D41" s="43" t="n">
        <x:v>2</x:v>
      </x:c>
      <x:c r="E41" s="43" t="str">
        <x:v>常规周</x:v>
      </x:c>
      <x:c r="F41" s="43" t="str">
        <x:v>白班</x:v>
      </x:c>
      <x:c r="G41" s="43" t="str">
        <x:v>晚班</x:v>
      </x:c>
      <x:c r="H41" s="43" t="str">
        <x:v>白班</x:v>
      </x:c>
      <x:c r="I41" s="43" t="str">
        <x:v>晚班</x:v>
      </x:c>
    </x:row>
    <x:row r="42">
      <x:c r="A42" s="42" t="str">
        <x:f>MONTH('配置'!$B$5+36)&amp;"月"&amp;DAY('配置'!$B$5+36)&amp;"日"</x:f>
        <x:v>7月14日</x:v>
      </x:c>
      <x:c r="B42" s="42" t="str">
        <x:f>CHOOSE(WEEKDAY('配置'!$B$5+36,2),"周一","周二","周三","周四","周五","周六","周日")</x:f>
        <x:v>周二</x:v>
      </x:c>
      <x:c r="C42" s="42" t="n">
        <x:v>6</x:v>
      </x:c>
      <x:c r="D42" s="42" t="n">
        <x:v>2</x:v>
      </x:c>
      <x:c r="E42" s="42" t="str">
        <x:v>常规周</x:v>
      </x:c>
      <x:c r="F42" s="42" t="str">
        <x:v>休假</x:v>
      </x:c>
      <x:c r="G42" s="42" t="str">
        <x:v>晚班</x:v>
      </x:c>
      <x:c r="H42" s="42" t="str">
        <x:v>白班</x:v>
      </x:c>
      <x:c r="I42" s="42" t="str">
        <x:v>白班</x:v>
      </x:c>
    </x:row>
    <x:row r="43">
      <x:c r="A43" s="42" t="str">
        <x:f>MONTH('配置'!$B$5+37)&amp;"月"&amp;DAY('配置'!$B$5+37)&amp;"日"</x:f>
        <x:v>7月15日</x:v>
      </x:c>
      <x:c r="B43" s="42" t="str">
        <x:f>CHOOSE(WEEKDAY('配置'!$B$5+37,2),"周一","周二","周三","周四","周五","周六","周日")</x:f>
        <x:v>周三</x:v>
      </x:c>
      <x:c r="C43" s="42" t="n">
        <x:v>6</x:v>
      </x:c>
      <x:c r="D43" s="42" t="n">
        <x:v>2</x:v>
      </x:c>
      <x:c r="E43" s="42" t="str">
        <x:v>常规周</x:v>
      </x:c>
      <x:c r="F43" s="42" t="str">
        <x:v>休假</x:v>
      </x:c>
      <x:c r="G43" s="42" t="str">
        <x:v>晚班</x:v>
      </x:c>
      <x:c r="H43" s="42" t="str">
        <x:v>晚班</x:v>
      </x:c>
      <x:c r="I43" s="42" t="str">
        <x:v>白班</x:v>
      </x:c>
    </x:row>
    <x:row r="44">
      <x:c r="A44" s="42" t="str">
        <x:f>MONTH('配置'!$B$5+38)&amp;"月"&amp;DAY('配置'!$B$5+38)&amp;"日"</x:f>
        <x:v>7月16日</x:v>
      </x:c>
      <x:c r="B44" s="42" t="str">
        <x:f>CHOOSE(WEEKDAY('配置'!$B$5+38,2),"周一","周二","周三","周四","周五","周六","周日")</x:f>
        <x:v>周四</x:v>
      </x:c>
      <x:c r="C44" s="42" t="n">
        <x:v>6</x:v>
      </x:c>
      <x:c r="D44" s="42" t="n">
        <x:v>2</x:v>
      </x:c>
      <x:c r="E44" s="42" t="str">
        <x:v>常规周</x:v>
      </x:c>
      <x:c r="F44" s="42" t="str">
        <x:v>白班</x:v>
      </x:c>
      <x:c r="G44" s="42" t="str">
        <x:v>休假</x:v>
      </x:c>
      <x:c r="H44" s="42" t="str">
        <x:v>晚班</x:v>
      </x:c>
      <x:c r="I44" s="42" t="str">
        <x:v>休假</x:v>
      </x:c>
    </x:row>
    <x:row r="45">
      <x:c r="A45" s="42" t="str">
        <x:f>MONTH('配置'!$B$5+39)&amp;"月"&amp;DAY('配置'!$B$5+39)&amp;"日"</x:f>
        <x:v>7月17日</x:v>
      </x:c>
      <x:c r="B45" s="42" t="str">
        <x:f>CHOOSE(WEEKDAY('配置'!$B$5+39,2),"周一","周二","周三","周四","周五","周六","周日")</x:f>
        <x:v>周五</x:v>
      </x:c>
      <x:c r="C45" s="42" t="n">
        <x:v>6</x:v>
      </x:c>
      <x:c r="D45" s="42" t="n">
        <x:v>2</x:v>
      </x:c>
      <x:c r="E45" s="42" t="str">
        <x:v>常规周</x:v>
      </x:c>
      <x:c r="F45" s="42" t="str">
        <x:v>白班</x:v>
      </x:c>
      <x:c r="G45" s="42" t="str">
        <x:v>休假</x:v>
      </x:c>
      <x:c r="H45" s="42" t="str">
        <x:v>晚班</x:v>
      </x:c>
      <x:c r="I45" s="42" t="str">
        <x:v>休假</x:v>
      </x:c>
    </x:row>
    <x:row r="46">
      <x:c r="A46" s="42" t="str">
        <x:f>MONTH('配置'!$B$5+40)&amp;"月"&amp;DAY('配置'!$B$5+40)&amp;"日"</x:f>
        <x:v>7月18日</x:v>
      </x:c>
      <x:c r="B46" s="42" t="str">
        <x:f>CHOOSE(WEEKDAY('配置'!$B$5+40,2),"周一","周二","周三","周四","周五","周六","周日")</x:f>
        <x:v>周六</x:v>
      </x:c>
      <x:c r="C46" s="42" t="n">
        <x:v>6</x:v>
      </x:c>
      <x:c r="D46" s="42" t="n">
        <x:v>2</x:v>
      </x:c>
      <x:c r="E46" s="42" t="str">
        <x:v>常规周</x:v>
      </x:c>
      <x:c r="F46" s="42" t="str">
        <x:v>晚班</x:v>
      </x:c>
      <x:c r="G46" s="42" t="str">
        <x:v>白班</x:v>
      </x:c>
      <x:c r="H46" s="42" t="str">
        <x:v>休假</x:v>
      </x:c>
      <x:c r="I46" s="42" t="str">
        <x:v>晚班</x:v>
      </x:c>
    </x:row>
    <x:row r="47">
      <x:c r="A47" s="42" t="str">
        <x:f>MONTH('配置'!$B$5+41)&amp;"月"&amp;DAY('配置'!$B$5+41)&amp;"日"</x:f>
        <x:v>7月19日</x:v>
      </x:c>
      <x:c r="B47" s="42" t="str">
        <x:f>CHOOSE(WEEKDAY('配置'!$B$5+41,2),"周一","周二","周三","周四","周五","周六","周日")</x:f>
        <x:v>周日</x:v>
      </x:c>
      <x:c r="C47" s="42" t="n">
        <x:v>6</x:v>
      </x:c>
      <x:c r="D47" s="42" t="n">
        <x:v>2</x:v>
      </x:c>
      <x:c r="E47" s="42" t="str">
        <x:v>常规周</x:v>
      </x:c>
      <x:c r="F47" s="42" t="str">
        <x:v>晚班</x:v>
      </x:c>
      <x:c r="G47" s="42" t="str">
        <x:v>白班</x:v>
      </x:c>
      <x:c r="H47" s="42" t="str">
        <x:v>休假</x:v>
      </x:c>
      <x:c r="I47" s="42" t="str">
        <x:v>晚班</x:v>
      </x:c>
    </x:row>
    <x:row r="48">
      <x:c r="A48" s="43" t="str">
        <x:f>MONTH('配置'!$B$5+42)&amp;"月"&amp;DAY('配置'!$B$5+42)&amp;"日"</x:f>
        <x:v>7月20日</x:v>
      </x:c>
      <x:c r="B48" s="43" t="str">
        <x:f>CHOOSE(WEEKDAY('配置'!$B$5+42,2),"周一","周二","周三","周四","周五","周六","周日")</x:f>
        <x:v>周一</x:v>
      </x:c>
      <x:c r="C48" s="43" t="n">
        <x:v>7</x:v>
      </x:c>
      <x:c r="D48" s="43" t="n">
        <x:v>2</x:v>
      </x:c>
      <x:c r="E48" s="43" t="str">
        <x:v>常规周</x:v>
      </x:c>
      <x:c r="F48" s="43" t="str">
        <x:v>白班</x:v>
      </x:c>
      <x:c r="G48" s="43" t="str">
        <x:v>晚班</x:v>
      </x:c>
      <x:c r="H48" s="43" t="str">
        <x:v>白班</x:v>
      </x:c>
      <x:c r="I48" s="43" t="str">
        <x:v>晚班</x:v>
      </x:c>
    </x:row>
    <x:row r="49">
      <x:c r="A49" s="42" t="str">
        <x:f>MONTH('配置'!$B$5+43)&amp;"月"&amp;DAY('配置'!$B$5+43)&amp;"日"</x:f>
        <x:v>7月21日</x:v>
      </x:c>
      <x:c r="B49" s="42" t="str">
        <x:f>CHOOSE(WEEKDAY('配置'!$B$5+43,2),"周一","周二","周三","周四","周五","周六","周日")</x:f>
        <x:v>周二</x:v>
      </x:c>
      <x:c r="C49" s="42" t="n">
        <x:v>7</x:v>
      </x:c>
      <x:c r="D49" s="42" t="n">
        <x:v>2</x:v>
      </x:c>
      <x:c r="E49" s="42" t="str">
        <x:v>常规周</x:v>
      </x:c>
      <x:c r="F49" s="42" t="str">
        <x:v>休假</x:v>
      </x:c>
      <x:c r="G49" s="42" t="str">
        <x:v>晚班</x:v>
      </x:c>
      <x:c r="H49" s="42" t="str">
        <x:v>白班</x:v>
      </x:c>
      <x:c r="I49" s="42" t="str">
        <x:v>白班</x:v>
      </x:c>
    </x:row>
    <x:row r="50">
      <x:c r="A50" s="42" t="str">
        <x:f>MONTH('配置'!$B$5+44)&amp;"月"&amp;DAY('配置'!$B$5+44)&amp;"日"</x:f>
        <x:v>7月22日</x:v>
      </x:c>
      <x:c r="B50" s="42" t="str">
        <x:f>CHOOSE(WEEKDAY('配置'!$B$5+44,2),"周一","周二","周三","周四","周五","周六","周日")</x:f>
        <x:v>周三</x:v>
      </x:c>
      <x:c r="C50" s="42" t="n">
        <x:v>7</x:v>
      </x:c>
      <x:c r="D50" s="42" t="n">
        <x:v>2</x:v>
      </x:c>
      <x:c r="E50" s="42" t="str">
        <x:v>常规周</x:v>
      </x:c>
      <x:c r="F50" s="42" t="str">
        <x:v>休假</x:v>
      </x:c>
      <x:c r="G50" s="42" t="str">
        <x:v>晚班</x:v>
      </x:c>
      <x:c r="H50" s="42" t="str">
        <x:v>晚班</x:v>
      </x:c>
      <x:c r="I50" s="42" t="str">
        <x:v>白班</x:v>
      </x:c>
    </x:row>
    <x:row r="51">
      <x:c r="A51" s="42" t="str">
        <x:f>MONTH('配置'!$B$5+45)&amp;"月"&amp;DAY('配置'!$B$5+45)&amp;"日"</x:f>
        <x:v>7月23日</x:v>
      </x:c>
      <x:c r="B51" s="42" t="str">
        <x:f>CHOOSE(WEEKDAY('配置'!$B$5+45,2),"周一","周二","周三","周四","周五","周六","周日")</x:f>
        <x:v>周四</x:v>
      </x:c>
      <x:c r="C51" s="42" t="n">
        <x:v>7</x:v>
      </x:c>
      <x:c r="D51" s="42" t="n">
        <x:v>2</x:v>
      </x:c>
      <x:c r="E51" s="42" t="str">
        <x:v>常规周</x:v>
      </x:c>
      <x:c r="F51" s="42" t="str">
        <x:v>白班</x:v>
      </x:c>
      <x:c r="G51" s="42" t="str">
        <x:v>休假</x:v>
      </x:c>
      <x:c r="H51" s="42" t="str">
        <x:v>晚班</x:v>
      </x:c>
      <x:c r="I51" s="42" t="str">
        <x:v>休假</x:v>
      </x:c>
    </x:row>
    <x:row r="52">
      <x:c r="A52" s="42" t="str">
        <x:f>MONTH('配置'!$B$5+46)&amp;"月"&amp;DAY('配置'!$B$5+46)&amp;"日"</x:f>
        <x:v>7月24日</x:v>
      </x:c>
      <x:c r="B52" s="42" t="str">
        <x:f>CHOOSE(WEEKDAY('配置'!$B$5+46,2),"周一","周二","周三","周四","周五","周六","周日")</x:f>
        <x:v>周五</x:v>
      </x:c>
      <x:c r="C52" s="42" t="n">
        <x:v>7</x:v>
      </x:c>
      <x:c r="D52" s="42" t="n">
        <x:v>2</x:v>
      </x:c>
      <x:c r="E52" s="42" t="str">
        <x:v>常规周</x:v>
      </x:c>
      <x:c r="F52" s="42" t="str">
        <x:v>白班</x:v>
      </x:c>
      <x:c r="G52" s="42" t="str">
        <x:v>休假</x:v>
      </x:c>
      <x:c r="H52" s="42" t="str">
        <x:v>晚班</x:v>
      </x:c>
      <x:c r="I52" s="42" t="str">
        <x:v>休假</x:v>
      </x:c>
    </x:row>
    <x:row r="53">
      <x:c r="A53" s="42" t="str">
        <x:f>MONTH('配置'!$B$5+47)&amp;"月"&amp;DAY('配置'!$B$5+47)&amp;"日"</x:f>
        <x:v>7月25日</x:v>
      </x:c>
      <x:c r="B53" s="42" t="str">
        <x:f>CHOOSE(WEEKDAY('配置'!$B$5+47,2),"周一","周二","周三","周四","周五","周六","周日")</x:f>
        <x:v>周六</x:v>
      </x:c>
      <x:c r="C53" s="42" t="n">
        <x:v>7</x:v>
      </x:c>
      <x:c r="D53" s="42" t="n">
        <x:v>2</x:v>
      </x:c>
      <x:c r="E53" s="42" t="str">
        <x:v>常规周</x:v>
      </x:c>
      <x:c r="F53" s="42" t="str">
        <x:v>晚班</x:v>
      </x:c>
      <x:c r="G53" s="42" t="str">
        <x:v>白班</x:v>
      </x:c>
      <x:c r="H53" s="42" t="str">
        <x:v>休假</x:v>
      </x:c>
      <x:c r="I53" s="42" t="str">
        <x:v>晚班</x:v>
      </x:c>
    </x:row>
    <x:row r="54">
      <x:c r="A54" s="42" t="str">
        <x:f>MONTH('配置'!$B$5+48)&amp;"月"&amp;DAY('配置'!$B$5+48)&amp;"日"</x:f>
        <x:v>7月26日</x:v>
      </x:c>
      <x:c r="B54" s="42" t="str">
        <x:f>CHOOSE(WEEKDAY('配置'!$B$5+48,2),"周一","周二","周三","周四","周五","周六","周日")</x:f>
        <x:v>周日</x:v>
      </x:c>
      <x:c r="C54" s="42" t="n">
        <x:v>7</x:v>
      </x:c>
      <x:c r="D54" s="42" t="n">
        <x:v>2</x:v>
      </x:c>
      <x:c r="E54" s="42" t="str">
        <x:v>常规周</x:v>
      </x:c>
      <x:c r="F54" s="42" t="str">
        <x:v>晚班</x:v>
      </x:c>
      <x:c r="G54" s="42" t="str">
        <x:v>白班</x:v>
      </x:c>
      <x:c r="H54" s="42" t="str">
        <x:v>休假</x:v>
      </x:c>
      <x:c r="I54" s="42" t="str">
        <x:v>晚班</x:v>
      </x:c>
    </x:row>
    <x:row r="55">
      <x:c r="A55" s="43" t="str">
        <x:f>MONTH('配置'!$B$5+49)&amp;"月"&amp;DAY('配置'!$B$5+49)&amp;"日"</x:f>
        <x:v>7月27日</x:v>
      </x:c>
      <x:c r="B55" s="43" t="str">
        <x:f>CHOOSE(WEEKDAY('配置'!$B$5+49,2),"周一","周二","周三","周四","周五","周六","周日")</x:f>
        <x:v>周一</x:v>
      </x:c>
      <x:c r="C55" s="43" t="n">
        <x:v>8</x:v>
      </x:c>
      <x:c r="D55" s="43" t="n">
        <x:v>2</x:v>
      </x:c>
      <x:c r="E55" s="43" t="str">
        <x:v>常规周</x:v>
      </x:c>
      <x:c r="F55" s="43" t="str">
        <x:v>白班</x:v>
      </x:c>
      <x:c r="G55" s="43" t="str">
        <x:v>晚班</x:v>
      </x:c>
      <x:c r="H55" s="43" t="str">
        <x:v>白班</x:v>
      </x:c>
      <x:c r="I55" s="43" t="str">
        <x:v>晚班</x:v>
      </x:c>
    </x:row>
    <x:row r="56">
      <x:c r="A56" s="42" t="str">
        <x:f>MONTH('配置'!$B$5+50)&amp;"月"&amp;DAY('配置'!$B$5+50)&amp;"日"</x:f>
        <x:v>7月28日</x:v>
      </x:c>
      <x:c r="B56" s="42" t="str">
        <x:f>CHOOSE(WEEKDAY('配置'!$B$5+50,2),"周一","周二","周三","周四","周五","周六","周日")</x:f>
        <x:v>周二</x:v>
      </x:c>
      <x:c r="C56" s="42" t="n">
        <x:v>8</x:v>
      </x:c>
      <x:c r="D56" s="42" t="n">
        <x:v>2</x:v>
      </x:c>
      <x:c r="E56" s="42" t="str">
        <x:v>常规周</x:v>
      </x:c>
      <x:c r="F56" s="42" t="str">
        <x:v>休假</x:v>
      </x:c>
      <x:c r="G56" s="42" t="str">
        <x:v>晚班</x:v>
      </x:c>
      <x:c r="H56" s="42" t="str">
        <x:v>白班</x:v>
      </x:c>
      <x:c r="I56" s="42" t="str">
        <x:v>白班</x:v>
      </x:c>
    </x:row>
    <x:row r="57">
      <x:c r="A57" s="42" t="str">
        <x:f>MONTH('配置'!$B$5+51)&amp;"月"&amp;DAY('配置'!$B$5+51)&amp;"日"</x:f>
        <x:v>7月29日</x:v>
      </x:c>
      <x:c r="B57" s="42" t="str">
        <x:f>CHOOSE(WEEKDAY('配置'!$B$5+51,2),"周一","周二","周三","周四","周五","周六","周日")</x:f>
        <x:v>周三</x:v>
      </x:c>
      <x:c r="C57" s="42" t="n">
        <x:v>8</x:v>
      </x:c>
      <x:c r="D57" s="42" t="n">
        <x:v>2</x:v>
      </x:c>
      <x:c r="E57" s="42" t="str">
        <x:v>常规周</x:v>
      </x:c>
      <x:c r="F57" s="42" t="str">
        <x:v>休假</x:v>
      </x:c>
      <x:c r="G57" s="42" t="str">
        <x:v>晚班</x:v>
      </x:c>
      <x:c r="H57" s="42" t="str">
        <x:v>晚班</x:v>
      </x:c>
      <x:c r="I57" s="42" t="str">
        <x:v>白班</x:v>
      </x:c>
    </x:row>
    <x:row r="58">
      <x:c r="A58" s="42" t="str">
        <x:f>MONTH('配置'!$B$5+52)&amp;"月"&amp;DAY('配置'!$B$5+52)&amp;"日"</x:f>
        <x:v>7月30日</x:v>
      </x:c>
      <x:c r="B58" s="42" t="str">
        <x:f>CHOOSE(WEEKDAY('配置'!$B$5+52,2),"周一","周二","周三","周四","周五","周六","周日")</x:f>
        <x:v>周四</x:v>
      </x:c>
      <x:c r="C58" s="42" t="n">
        <x:v>8</x:v>
      </x:c>
      <x:c r="D58" s="42" t="n">
        <x:v>2</x:v>
      </x:c>
      <x:c r="E58" s="42" t="str">
        <x:v>常规周</x:v>
      </x:c>
      <x:c r="F58" s="42" t="str">
        <x:v>白班</x:v>
      </x:c>
      <x:c r="G58" s="42" t="str">
        <x:v>休假</x:v>
      </x:c>
      <x:c r="H58" s="42" t="str">
        <x:v>晚班</x:v>
      </x:c>
      <x:c r="I58" s="42" t="str">
        <x:v>休假</x:v>
      </x:c>
    </x:row>
    <x:row r="59">
      <x:c r="A59" s="42" t="str">
        <x:f>MONTH('配置'!$B$5+53)&amp;"月"&amp;DAY('配置'!$B$5+53)&amp;"日"</x:f>
        <x:v>7月31日</x:v>
      </x:c>
      <x:c r="B59" s="42" t="str">
        <x:f>CHOOSE(WEEKDAY('配置'!$B$5+53,2),"周一","周二","周三","周四","周五","周六","周日")</x:f>
        <x:v>周五</x:v>
      </x:c>
      <x:c r="C59" s="42" t="n">
        <x:v>8</x:v>
      </x:c>
      <x:c r="D59" s="42" t="n">
        <x:v>2</x:v>
      </x:c>
      <x:c r="E59" s="42" t="str">
        <x:v>常规周</x:v>
      </x:c>
      <x:c r="F59" s="42" t="str">
        <x:v>白班</x:v>
      </x:c>
      <x:c r="G59" s="42" t="str">
        <x:v>休假</x:v>
      </x:c>
      <x:c r="H59" s="42" t="str">
        <x:v>晚班</x:v>
      </x:c>
      <x:c r="I59" s="42" t="str">
        <x:v>休假</x:v>
      </x:c>
    </x:row>
    <x:row r="60">
      <x:c r="A60" s="42" t="str">
        <x:f>MONTH('配置'!$B$5+54)&amp;"月"&amp;DAY('配置'!$B$5+54)&amp;"日"</x:f>
        <x:v>8月1日</x:v>
      </x:c>
      <x:c r="B60" s="42" t="str">
        <x:f>CHOOSE(WEEKDAY('配置'!$B$5+54,2),"周一","周二","周三","周四","周五","周六","周日")</x:f>
        <x:v>周六</x:v>
      </x:c>
      <x:c r="C60" s="42" t="n">
        <x:v>8</x:v>
      </x:c>
      <x:c r="D60" s="42" t="n">
        <x:v>2</x:v>
      </x:c>
      <x:c r="E60" s="42" t="str">
        <x:v>常规周</x:v>
      </x:c>
      <x:c r="F60" s="42" t="str">
        <x:v>晚班</x:v>
      </x:c>
      <x:c r="G60" s="42" t="str">
        <x:v>白班</x:v>
      </x:c>
      <x:c r="H60" s="42" t="str">
        <x:v>休假</x:v>
      </x:c>
      <x:c r="I60" s="42" t="str">
        <x:v>晚班</x:v>
      </x:c>
    </x:row>
    <x:row r="61">
      <x:c r="A61" s="42" t="str">
        <x:f>MONTH('配置'!$B$5+55)&amp;"月"&amp;DAY('配置'!$B$5+55)&amp;"日"</x:f>
        <x:v>8月2日</x:v>
      </x:c>
      <x:c r="B61" s="42" t="str">
        <x:f>CHOOSE(WEEKDAY('配置'!$B$5+55,2),"周一","周二","周三","周四","周五","周六","周日")</x:f>
        <x:v>周日</x:v>
      </x:c>
      <x:c r="C61" s="42" t="n">
        <x:v>8</x:v>
      </x:c>
      <x:c r="D61" s="42" t="n">
        <x:v>2</x:v>
      </x:c>
      <x:c r="E61" s="42" t="str">
        <x:v>常规周</x:v>
      </x:c>
      <x:c r="F61" s="42" t="str">
        <x:v>晚班</x:v>
      </x:c>
      <x:c r="G61" s="42" t="str">
        <x:v>白班</x:v>
      </x:c>
      <x:c r="H61" s="42" t="str">
        <x:v>休假</x:v>
      </x:c>
      <x:c r="I61" s="42" t="str">
        <x:v>晚班</x:v>
      </x:c>
    </x:row>
    <x:row r="62">
      <x:c r="A62" s="43" t="str">
        <x:f>MONTH('配置'!$B$5+56)&amp;"月"&amp;DAY('配置'!$B$5+56)&amp;"日"</x:f>
        <x:v>8月3日</x:v>
      </x:c>
      <x:c r="B62" s="43" t="str">
        <x:f>CHOOSE(WEEKDAY('配置'!$B$5+56,2),"周一","周二","周三","周四","周五","周六","周日")</x:f>
        <x:v>周一</x:v>
      </x:c>
      <x:c r="C62" s="43" t="n">
        <x:v>9</x:v>
      </x:c>
      <x:c r="D62" s="43" t="n">
        <x:v>3</x:v>
      </x:c>
      <x:c r="E62" s="43" t="str">
        <x:v>换休周</x:v>
      </x:c>
      <x:c r="F62" s="43" t="str">
        <x:v>晚班</x:v>
      </x:c>
      <x:c r="G62" s="43" t="str">
        <x:v>白班</x:v>
      </x:c>
      <x:c r="H62" s="43" t="str">
        <x:v>晚班</x:v>
      </x:c>
      <x:c r="I62" s="43" t="str">
        <x:v>白班</x:v>
      </x:c>
    </x:row>
    <x:row r="63">
      <x:c r="A63" s="42" t="str">
        <x:f>MONTH('配置'!$B$5+57)&amp;"月"&amp;DAY('配置'!$B$5+57)&amp;"日"</x:f>
        <x:v>8月4日</x:v>
      </x:c>
      <x:c r="B63" s="42" t="str">
        <x:f>CHOOSE(WEEKDAY('配置'!$B$5+57,2),"周一","周二","周三","周四","周五","周六","周日")</x:f>
        <x:v>周二</x:v>
      </x:c>
      <x:c r="C63" s="42" t="n">
        <x:v>9</x:v>
      </x:c>
      <x:c r="D63" s="42" t="n">
        <x:v>3</x:v>
      </x:c>
      <x:c r="E63" s="42" t="str">
        <x:v>换休周</x:v>
      </x:c>
      <x:c r="F63" s="42" t="str">
        <x:v>晚班</x:v>
      </x:c>
      <x:c r="G63" s="42" t="str">
        <x:v>休假</x:v>
      </x:c>
      <x:c r="H63" s="42" t="str">
        <x:v>白班</x:v>
      </x:c>
      <x:c r="I63" s="42" t="str">
        <x:v>白班</x:v>
      </x:c>
    </x:row>
    <x:row r="64">
      <x:c r="A64" s="42" t="str">
        <x:f>MONTH('配置'!$B$5+58)&amp;"月"&amp;DAY('配置'!$B$5+58)&amp;"日"</x:f>
        <x:v>8月5日</x:v>
      </x:c>
      <x:c r="B64" s="42" t="str">
        <x:f>CHOOSE(WEEKDAY('配置'!$B$5+58,2),"周一","周二","周三","周四","周五","周六","周日")</x:f>
        <x:v>周三</x:v>
      </x:c>
      <x:c r="C64" s="42" t="n">
        <x:v>9</x:v>
      </x:c>
      <x:c r="D64" s="42" t="n">
        <x:v>3</x:v>
      </x:c>
      <x:c r="E64" s="42" t="str">
        <x:v>换休周</x:v>
      </x:c>
      <x:c r="F64" s="42" t="str">
        <x:v>晚班</x:v>
      </x:c>
      <x:c r="G64" s="42" t="str">
        <x:v>休假</x:v>
      </x:c>
      <x:c r="H64" s="42" t="str">
        <x:v>白班</x:v>
      </x:c>
      <x:c r="I64" s="42" t="str">
        <x:v>晚班</x:v>
      </x:c>
    </x:row>
    <x:row r="65">
      <x:c r="A65" s="42" t="str">
        <x:f>MONTH('配置'!$B$5+59)&amp;"月"&amp;DAY('配置'!$B$5+59)&amp;"日"</x:f>
        <x:v>8月6日</x:v>
      </x:c>
      <x:c r="B65" s="42" t="str">
        <x:f>CHOOSE(WEEKDAY('配置'!$B$5+59,2),"周一","周二","周三","周四","周五","周六","周日")</x:f>
        <x:v>周四</x:v>
      </x:c>
      <x:c r="C65" s="42" t="n">
        <x:v>9</x:v>
      </x:c>
      <x:c r="D65" s="42" t="n">
        <x:v>3</x:v>
      </x:c>
      <x:c r="E65" s="42" t="str">
        <x:v>换休周</x:v>
      </x:c>
      <x:c r="F65" s="42" t="str">
        <x:v>休假</x:v>
      </x:c>
      <x:c r="G65" s="42" t="str">
        <x:v>白班</x:v>
      </x:c>
      <x:c r="H65" s="42" t="str">
        <x:v>休假</x:v>
      </x:c>
      <x:c r="I65" s="42" t="str">
        <x:v>晚班</x:v>
      </x:c>
    </x:row>
    <x:row r="66">
      <x:c r="A66" s="42" t="str">
        <x:f>MONTH('配置'!$B$5+60)&amp;"月"&amp;DAY('配置'!$B$5+60)&amp;"日"</x:f>
        <x:v>8月7日</x:v>
      </x:c>
      <x:c r="B66" s="42" t="str">
        <x:f>CHOOSE(WEEKDAY('配置'!$B$5+60,2),"周一","周二","周三","周四","周五","周六","周日")</x:f>
        <x:v>周五</x:v>
      </x:c>
      <x:c r="C66" s="42" t="n">
        <x:v>9</x:v>
      </x:c>
      <x:c r="D66" s="42" t="n">
        <x:v>3</x:v>
      </x:c>
      <x:c r="E66" s="42" t="str">
        <x:v>换休周</x:v>
      </x:c>
      <x:c r="F66" s="42" t="str">
        <x:v>休假</x:v>
      </x:c>
      <x:c r="G66" s="42" t="str">
        <x:v>白班</x:v>
      </x:c>
      <x:c r="H66" s="42" t="str">
        <x:v>休假</x:v>
      </x:c>
      <x:c r="I66" s="42" t="str">
        <x:v>晚班</x:v>
      </x:c>
    </x:row>
    <x:row r="67">
      <x:c r="A67" s="42" t="str">
        <x:f>MONTH('配置'!$B$5+61)&amp;"月"&amp;DAY('配置'!$B$5+61)&amp;"日"</x:f>
        <x:v>8月8日</x:v>
      </x:c>
      <x:c r="B67" s="42" t="str">
        <x:f>CHOOSE(WEEKDAY('配置'!$B$5+61,2),"周一","周二","周三","周四","周五","周六","周日")</x:f>
        <x:v>周六</x:v>
      </x:c>
      <x:c r="C67" s="42" t="n">
        <x:v>9</x:v>
      </x:c>
      <x:c r="D67" s="42" t="n">
        <x:v>3</x:v>
      </x:c>
      <x:c r="E67" s="42" t="str">
        <x:v>换休周</x:v>
      </x:c>
      <x:c r="F67" s="42" t="str">
        <x:v>白班</x:v>
      </x:c>
      <x:c r="G67" s="42" t="str">
        <x:v>晚班</x:v>
      </x:c>
      <x:c r="H67" s="42" t="str">
        <x:v>晚班</x:v>
      </x:c>
      <x:c r="I67" s="42" t="str">
        <x:v>休假</x:v>
      </x:c>
    </x:row>
    <x:row r="68">
      <x:c r="A68" s="42" t="str">
        <x:f>MONTH('配置'!$B$5+62)&amp;"月"&amp;DAY('配置'!$B$5+62)&amp;"日"</x:f>
        <x:v>8月9日</x:v>
      </x:c>
      <x:c r="B68" s="42" t="str">
        <x:f>CHOOSE(WEEKDAY('配置'!$B$5+62,2),"周一","周二","周三","周四","周五","周六","周日")</x:f>
        <x:v>周日</x:v>
      </x:c>
      <x:c r="C68" s="42" t="n">
        <x:v>9</x:v>
      </x:c>
      <x:c r="D68" s="42" t="n">
        <x:v>3</x:v>
      </x:c>
      <x:c r="E68" s="42" t="str">
        <x:v>换休周</x:v>
      </x:c>
      <x:c r="F68" s="42" t="str">
        <x:v>白班</x:v>
      </x:c>
      <x:c r="G68" s="42" t="str">
        <x:v>晚班</x:v>
      </x:c>
      <x:c r="H68" s="42" t="str">
        <x:v>晚班</x:v>
      </x:c>
      <x:c r="I68" s="42" t="str">
        <x:v>休假</x:v>
      </x:c>
    </x:row>
    <x:row r="69">
      <x:c r="A69" s="43" t="str">
        <x:f>MONTH('配置'!$B$5+63)&amp;"月"&amp;DAY('配置'!$B$5+63)&amp;"日"</x:f>
        <x:v>8月10日</x:v>
      </x:c>
      <x:c r="B69" s="43" t="str">
        <x:f>CHOOSE(WEEKDAY('配置'!$B$5+63,2),"周一","周二","周三","周四","周五","周六","周日")</x:f>
        <x:v>周一</x:v>
      </x:c>
      <x:c r="C69" s="43" t="n">
        <x:v>10</x:v>
      </x:c>
      <x:c r="D69" s="43" t="n">
        <x:v>3</x:v>
      </x:c>
      <x:c r="E69" s="43" t="str">
        <x:v>常规周</x:v>
      </x:c>
      <x:c r="F69" s="43" t="str">
        <x:v>晚班</x:v>
      </x:c>
      <x:c r="G69" s="43" t="str">
        <x:v>晚班</x:v>
      </x:c>
      <x:c r="H69" s="43" t="str">
        <x:v>白班</x:v>
      </x:c>
      <x:c r="I69" s="43" t="str">
        <x:v>白班</x:v>
      </x:c>
    </x:row>
    <x:row r="70">
      <x:c r="A70" s="42" t="str">
        <x:f>MONTH('配置'!$B$5+64)&amp;"月"&amp;DAY('配置'!$B$5+64)&amp;"日"</x:f>
        <x:v>8月11日</x:v>
      </x:c>
      <x:c r="B70" s="42" t="str">
        <x:f>CHOOSE(WEEKDAY('配置'!$B$5+64,2),"周一","周二","周三","周四","周五","周六","周日")</x:f>
        <x:v>周二</x:v>
      </x:c>
      <x:c r="C70" s="42" t="n">
        <x:v>10</x:v>
      </x:c>
      <x:c r="D70" s="42" t="n">
        <x:v>3</x:v>
      </x:c>
      <x:c r="E70" s="42" t="str">
        <x:v>常规周</x:v>
      </x:c>
      <x:c r="F70" s="42" t="str">
        <x:v>晚班</x:v>
      </x:c>
      <x:c r="G70" s="42" t="str">
        <x:v>白班</x:v>
      </x:c>
      <x:c r="H70" s="42" t="str">
        <x:v>休假</x:v>
      </x:c>
      <x:c r="I70" s="42" t="str">
        <x:v>白班</x:v>
      </x:c>
    </x:row>
    <x:row r="71">
      <x:c r="A71" s="42" t="str">
        <x:f>MONTH('配置'!$B$5+65)&amp;"月"&amp;DAY('配置'!$B$5+65)&amp;"日"</x:f>
        <x:v>8月12日</x:v>
      </x:c>
      <x:c r="B71" s="42" t="str">
        <x:f>CHOOSE(WEEKDAY('配置'!$B$5+65,2),"周一","周二","周三","周四","周五","周六","周日")</x:f>
        <x:v>周三</x:v>
      </x:c>
      <x:c r="C71" s="42" t="n">
        <x:v>10</x:v>
      </x:c>
      <x:c r="D71" s="42" t="n">
        <x:v>3</x:v>
      </x:c>
      <x:c r="E71" s="42" t="str">
        <x:v>常规周</x:v>
      </x:c>
      <x:c r="F71" s="42" t="str">
        <x:v>晚班</x:v>
      </x:c>
      <x:c r="G71" s="42" t="str">
        <x:v>白班</x:v>
      </x:c>
      <x:c r="H71" s="42" t="str">
        <x:v>休假</x:v>
      </x:c>
      <x:c r="I71" s="42" t="str">
        <x:v>晚班</x:v>
      </x:c>
    </x:row>
    <x:row r="72">
      <x:c r="A72" s="42" t="str">
        <x:f>MONTH('配置'!$B$5+66)&amp;"月"&amp;DAY('配置'!$B$5+66)&amp;"日"</x:f>
        <x:v>8月13日</x:v>
      </x:c>
      <x:c r="B72" s="42" t="str">
        <x:f>CHOOSE(WEEKDAY('配置'!$B$5+66,2),"周一","周二","周三","周四","周五","周六","周日")</x:f>
        <x:v>周四</x:v>
      </x:c>
      <x:c r="C72" s="42" t="n">
        <x:v>10</x:v>
      </x:c>
      <x:c r="D72" s="42" t="n">
        <x:v>3</x:v>
      </x:c>
      <x:c r="E72" s="42" t="str">
        <x:v>常规周</x:v>
      </x:c>
      <x:c r="F72" s="42" t="str">
        <x:v>休假</x:v>
      </x:c>
      <x:c r="G72" s="42" t="str">
        <x:v>休假</x:v>
      </x:c>
      <x:c r="H72" s="42" t="str">
        <x:v>白班</x:v>
      </x:c>
      <x:c r="I72" s="42" t="str">
        <x:v>晚班</x:v>
      </x:c>
    </x:row>
    <x:row r="73">
      <x:c r="A73" s="42" t="str">
        <x:f>MONTH('配置'!$B$5+67)&amp;"月"&amp;DAY('配置'!$B$5+67)&amp;"日"</x:f>
        <x:v>8月14日</x:v>
      </x:c>
      <x:c r="B73" s="42" t="str">
        <x:f>CHOOSE(WEEKDAY('配置'!$B$5+67,2),"周一","周二","周三","周四","周五","周六","周日")</x:f>
        <x:v>周五</x:v>
      </x:c>
      <x:c r="C73" s="42" t="n">
        <x:v>10</x:v>
      </x:c>
      <x:c r="D73" s="42" t="n">
        <x:v>3</x:v>
      </x:c>
      <x:c r="E73" s="42" t="str">
        <x:v>常规周</x:v>
      </x:c>
      <x:c r="F73" s="42" t="str">
        <x:v>休假</x:v>
      </x:c>
      <x:c r="G73" s="42" t="str">
        <x:v>休假</x:v>
      </x:c>
      <x:c r="H73" s="42" t="str">
        <x:v>白班</x:v>
      </x:c>
      <x:c r="I73" s="42" t="str">
        <x:v>晚班</x:v>
      </x:c>
    </x:row>
    <x:row r="74">
      <x:c r="A74" s="42" t="str">
        <x:f>MONTH('配置'!$B$5+68)&amp;"月"&amp;DAY('配置'!$B$5+68)&amp;"日"</x:f>
        <x:v>8月15日</x:v>
      </x:c>
      <x:c r="B74" s="42" t="str">
        <x:f>CHOOSE(WEEKDAY('配置'!$B$5+68,2),"周一","周二","周三","周四","周五","周六","周日")</x:f>
        <x:v>周六</x:v>
      </x:c>
      <x:c r="C74" s="42" t="n">
        <x:v>10</x:v>
      </x:c>
      <x:c r="D74" s="42" t="n">
        <x:v>3</x:v>
      </x:c>
      <x:c r="E74" s="42" t="str">
        <x:v>常规周</x:v>
      </x:c>
      <x:c r="F74" s="42" t="str">
        <x:v>白班</x:v>
      </x:c>
      <x:c r="G74" s="42" t="str">
        <x:v>晚班</x:v>
      </x:c>
      <x:c r="H74" s="42" t="str">
        <x:v>晚班</x:v>
      </x:c>
      <x:c r="I74" s="42" t="str">
        <x:v>休假</x:v>
      </x:c>
    </x:row>
    <x:row r="75">
      <x:c r="A75" s="42" t="str">
        <x:f>MONTH('配置'!$B$5+69)&amp;"月"&amp;DAY('配置'!$B$5+69)&amp;"日"</x:f>
        <x:v>8月16日</x:v>
      </x:c>
      <x:c r="B75" s="42" t="str">
        <x:f>CHOOSE(WEEKDAY('配置'!$B$5+69,2),"周一","周二","周三","周四","周五","周六","周日")</x:f>
        <x:v>周日</x:v>
      </x:c>
      <x:c r="C75" s="42" t="n">
        <x:v>10</x:v>
      </x:c>
      <x:c r="D75" s="42" t="n">
        <x:v>3</x:v>
      </x:c>
      <x:c r="E75" s="42" t="str">
        <x:v>常规周</x:v>
      </x:c>
      <x:c r="F75" s="42" t="str">
        <x:v>白班</x:v>
      </x:c>
      <x:c r="G75" s="42" t="str">
        <x:v>晚班</x:v>
      </x:c>
      <x:c r="H75" s="42" t="str">
        <x:v>晚班</x:v>
      </x:c>
      <x:c r="I75" s="42" t="str">
        <x:v>休假</x:v>
      </x:c>
    </x:row>
    <x:row r="76">
      <x:c r="A76" s="43" t="str">
        <x:f>MONTH('配置'!$B$5+70)&amp;"月"&amp;DAY('配置'!$B$5+70)&amp;"日"</x:f>
        <x:v>8月17日</x:v>
      </x:c>
      <x:c r="B76" s="43" t="str">
        <x:f>CHOOSE(WEEKDAY('配置'!$B$5+70,2),"周一","周二","周三","周四","周五","周六","周日")</x:f>
        <x:v>周一</x:v>
      </x:c>
      <x:c r="C76" s="43" t="n">
        <x:v>11</x:v>
      </x:c>
      <x:c r="D76" s="43" t="n">
        <x:v>3</x:v>
      </x:c>
      <x:c r="E76" s="43" t="str">
        <x:v>常规周</x:v>
      </x:c>
      <x:c r="F76" s="43" t="str">
        <x:v>晚班</x:v>
      </x:c>
      <x:c r="G76" s="43" t="str">
        <x:v>晚班</x:v>
      </x:c>
      <x:c r="H76" s="43" t="str">
        <x:v>白班</x:v>
      </x:c>
      <x:c r="I76" s="43" t="str">
        <x:v>白班</x:v>
      </x:c>
    </x:row>
    <x:row r="77">
      <x:c r="A77" s="42" t="str">
        <x:f>MONTH('配置'!$B$5+71)&amp;"月"&amp;DAY('配置'!$B$5+71)&amp;"日"</x:f>
        <x:v>8月18日</x:v>
      </x:c>
      <x:c r="B77" s="42" t="str">
        <x:f>CHOOSE(WEEKDAY('配置'!$B$5+71,2),"周一","周二","周三","周四","周五","周六","周日")</x:f>
        <x:v>周二</x:v>
      </x:c>
      <x:c r="C77" s="42" t="n">
        <x:v>11</x:v>
      </x:c>
      <x:c r="D77" s="42" t="n">
        <x:v>3</x:v>
      </x:c>
      <x:c r="E77" s="42" t="str">
        <x:v>常规周</x:v>
      </x:c>
      <x:c r="F77" s="42" t="str">
        <x:v>晚班</x:v>
      </x:c>
      <x:c r="G77" s="42" t="str">
        <x:v>白班</x:v>
      </x:c>
      <x:c r="H77" s="42" t="str">
        <x:v>休假</x:v>
      </x:c>
      <x:c r="I77" s="42" t="str">
        <x:v>白班</x:v>
      </x:c>
    </x:row>
    <x:row r="78">
      <x:c r="A78" s="42" t="str">
        <x:f>MONTH('配置'!$B$5+72)&amp;"月"&amp;DAY('配置'!$B$5+72)&amp;"日"</x:f>
        <x:v>8月19日</x:v>
      </x:c>
      <x:c r="B78" s="42" t="str">
        <x:f>CHOOSE(WEEKDAY('配置'!$B$5+72,2),"周一","周二","周三","周四","周五","周六","周日")</x:f>
        <x:v>周三</x:v>
      </x:c>
      <x:c r="C78" s="42" t="n">
        <x:v>11</x:v>
      </x:c>
      <x:c r="D78" s="42" t="n">
        <x:v>3</x:v>
      </x:c>
      <x:c r="E78" s="42" t="str">
        <x:v>常规周</x:v>
      </x:c>
      <x:c r="F78" s="42" t="str">
        <x:v>晚班</x:v>
      </x:c>
      <x:c r="G78" s="42" t="str">
        <x:v>白班</x:v>
      </x:c>
      <x:c r="H78" s="42" t="str">
        <x:v>休假</x:v>
      </x:c>
      <x:c r="I78" s="42" t="str">
        <x:v>晚班</x:v>
      </x:c>
    </x:row>
    <x:row r="79">
      <x:c r="A79" s="42" t="str">
        <x:f>MONTH('配置'!$B$5+73)&amp;"月"&amp;DAY('配置'!$B$5+73)&amp;"日"</x:f>
        <x:v>8月20日</x:v>
      </x:c>
      <x:c r="B79" s="42" t="str">
        <x:f>CHOOSE(WEEKDAY('配置'!$B$5+73,2),"周一","周二","周三","周四","周五","周六","周日")</x:f>
        <x:v>周四</x:v>
      </x:c>
      <x:c r="C79" s="42" t="n">
        <x:v>11</x:v>
      </x:c>
      <x:c r="D79" s="42" t="n">
        <x:v>3</x:v>
      </x:c>
      <x:c r="E79" s="42" t="str">
        <x:v>常规周</x:v>
      </x:c>
      <x:c r="F79" s="42" t="str">
        <x:v>休假</x:v>
      </x:c>
      <x:c r="G79" s="42" t="str">
        <x:v>休假</x:v>
      </x:c>
      <x:c r="H79" s="42" t="str">
        <x:v>白班</x:v>
      </x:c>
      <x:c r="I79" s="42" t="str">
        <x:v>晚班</x:v>
      </x:c>
    </x:row>
    <x:row r="80">
      <x:c r="A80" s="42" t="str">
        <x:f>MONTH('配置'!$B$5+74)&amp;"月"&amp;DAY('配置'!$B$5+74)&amp;"日"</x:f>
        <x:v>8月21日</x:v>
      </x:c>
      <x:c r="B80" s="42" t="str">
        <x:f>CHOOSE(WEEKDAY('配置'!$B$5+74,2),"周一","周二","周三","周四","周五","周六","周日")</x:f>
        <x:v>周五</x:v>
      </x:c>
      <x:c r="C80" s="42" t="n">
        <x:v>11</x:v>
      </x:c>
      <x:c r="D80" s="42" t="n">
        <x:v>3</x:v>
      </x:c>
      <x:c r="E80" s="42" t="str">
        <x:v>常规周</x:v>
      </x:c>
      <x:c r="F80" s="42" t="str">
        <x:v>休假</x:v>
      </x:c>
      <x:c r="G80" s="42" t="str">
        <x:v>休假</x:v>
      </x:c>
      <x:c r="H80" s="42" t="str">
        <x:v>白班</x:v>
      </x:c>
      <x:c r="I80" s="42" t="str">
        <x:v>晚班</x:v>
      </x:c>
    </x:row>
    <x:row r="81">
      <x:c r="A81" s="42" t="str">
        <x:f>MONTH('配置'!$B$5+75)&amp;"月"&amp;DAY('配置'!$B$5+75)&amp;"日"</x:f>
        <x:v>8月22日</x:v>
      </x:c>
      <x:c r="B81" s="42" t="str">
        <x:f>CHOOSE(WEEKDAY('配置'!$B$5+75,2),"周一","周二","周三","周四","周五","周六","周日")</x:f>
        <x:v>周六</x:v>
      </x:c>
      <x:c r="C81" s="42" t="n">
        <x:v>11</x:v>
      </x:c>
      <x:c r="D81" s="42" t="n">
        <x:v>3</x:v>
      </x:c>
      <x:c r="E81" s="42" t="str">
        <x:v>常规周</x:v>
      </x:c>
      <x:c r="F81" s="42" t="str">
        <x:v>白班</x:v>
      </x:c>
      <x:c r="G81" s="42" t="str">
        <x:v>晚班</x:v>
      </x:c>
      <x:c r="H81" s="42" t="str">
        <x:v>晚班</x:v>
      </x:c>
      <x:c r="I81" s="42" t="str">
        <x:v>休假</x:v>
      </x:c>
    </x:row>
    <x:row r="82">
      <x:c r="A82" s="42" t="str">
        <x:f>MONTH('配置'!$B$5+76)&amp;"月"&amp;DAY('配置'!$B$5+76)&amp;"日"</x:f>
        <x:v>8月23日</x:v>
      </x:c>
      <x:c r="B82" s="42" t="str">
        <x:f>CHOOSE(WEEKDAY('配置'!$B$5+76,2),"周一","周二","周三","周四","周五","周六","周日")</x:f>
        <x:v>周日</x:v>
      </x:c>
      <x:c r="C82" s="42" t="n">
        <x:v>11</x:v>
      </x:c>
      <x:c r="D82" s="42" t="n">
        <x:v>3</x:v>
      </x:c>
      <x:c r="E82" s="42" t="str">
        <x:v>常规周</x:v>
      </x:c>
      <x:c r="F82" s="42" t="str">
        <x:v>白班</x:v>
      </x:c>
      <x:c r="G82" s="42" t="str">
        <x:v>晚班</x:v>
      </x:c>
      <x:c r="H82" s="42" t="str">
        <x:v>晚班</x:v>
      </x:c>
      <x:c r="I82" s="42" t="str">
        <x:v>休假</x:v>
      </x:c>
    </x:row>
    <x:row r="83">
      <x:c r="A83" s="43" t="str">
        <x:f>MONTH('配置'!$B$5+77)&amp;"月"&amp;DAY('配置'!$B$5+77)&amp;"日"</x:f>
        <x:v>8月24日</x:v>
      </x:c>
      <x:c r="B83" s="43" t="str">
        <x:f>CHOOSE(WEEKDAY('配置'!$B$5+77,2),"周一","周二","周三","周四","周五","周六","周日")</x:f>
        <x:v>周一</x:v>
      </x:c>
      <x:c r="C83" s="43" t="n">
        <x:v>12</x:v>
      </x:c>
      <x:c r="D83" s="43" t="n">
        <x:v>3</x:v>
      </x:c>
      <x:c r="E83" s="43" t="str">
        <x:v>常规周</x:v>
      </x:c>
      <x:c r="F83" s="43" t="str">
        <x:v>晚班</x:v>
      </x:c>
      <x:c r="G83" s="43" t="str">
        <x:v>晚班</x:v>
      </x:c>
      <x:c r="H83" s="43" t="str">
        <x:v>白班</x:v>
      </x:c>
      <x:c r="I83" s="43" t="str">
        <x:v>白班</x:v>
      </x:c>
    </x:row>
    <x:row r="84">
      <x:c r="A84" s="42" t="str">
        <x:f>MONTH('配置'!$B$5+78)&amp;"月"&amp;DAY('配置'!$B$5+78)&amp;"日"</x:f>
        <x:v>8月25日</x:v>
      </x:c>
      <x:c r="B84" s="42" t="str">
        <x:f>CHOOSE(WEEKDAY('配置'!$B$5+78,2),"周一","周二","周三","周四","周五","周六","周日")</x:f>
        <x:v>周二</x:v>
      </x:c>
      <x:c r="C84" s="42" t="n">
        <x:v>12</x:v>
      </x:c>
      <x:c r="D84" s="42" t="n">
        <x:v>3</x:v>
      </x:c>
      <x:c r="E84" s="42" t="str">
        <x:v>常规周</x:v>
      </x:c>
      <x:c r="F84" s="42" t="str">
        <x:v>晚班</x:v>
      </x:c>
      <x:c r="G84" s="42" t="str">
        <x:v>白班</x:v>
      </x:c>
      <x:c r="H84" s="42" t="str">
        <x:v>休假</x:v>
      </x:c>
      <x:c r="I84" s="42" t="str">
        <x:v>白班</x:v>
      </x:c>
    </x:row>
    <x:row r="85">
      <x:c r="A85" s="42" t="str">
        <x:f>MONTH('配置'!$B$5+79)&amp;"月"&amp;DAY('配置'!$B$5+79)&amp;"日"</x:f>
        <x:v>8月26日</x:v>
      </x:c>
      <x:c r="B85" s="42" t="str">
        <x:f>CHOOSE(WEEKDAY('配置'!$B$5+79,2),"周一","周二","周三","周四","周五","周六","周日")</x:f>
        <x:v>周三</x:v>
      </x:c>
      <x:c r="C85" s="42" t="n">
        <x:v>12</x:v>
      </x:c>
      <x:c r="D85" s="42" t="n">
        <x:v>3</x:v>
      </x:c>
      <x:c r="E85" s="42" t="str">
        <x:v>常规周</x:v>
      </x:c>
      <x:c r="F85" s="42" t="str">
        <x:v>晚班</x:v>
      </x:c>
      <x:c r="G85" s="42" t="str">
        <x:v>白班</x:v>
      </x:c>
      <x:c r="H85" s="42" t="str">
        <x:v>休假</x:v>
      </x:c>
      <x:c r="I85" s="42" t="str">
        <x:v>晚班</x:v>
      </x:c>
    </x:row>
    <x:row r="86">
      <x:c r="A86" s="42" t="str">
        <x:f>MONTH('配置'!$B$5+80)&amp;"月"&amp;DAY('配置'!$B$5+80)&amp;"日"</x:f>
        <x:v>8月27日</x:v>
      </x:c>
      <x:c r="B86" s="42" t="str">
        <x:f>CHOOSE(WEEKDAY('配置'!$B$5+80,2),"周一","周二","周三","周四","周五","周六","周日")</x:f>
        <x:v>周四</x:v>
      </x:c>
      <x:c r="C86" s="42" t="n">
        <x:v>12</x:v>
      </x:c>
      <x:c r="D86" s="42" t="n">
        <x:v>3</x:v>
      </x:c>
      <x:c r="E86" s="42" t="str">
        <x:v>常规周</x:v>
      </x:c>
      <x:c r="F86" s="42" t="str">
        <x:v>休假</x:v>
      </x:c>
      <x:c r="G86" s="42" t="str">
        <x:v>休假</x:v>
      </x:c>
      <x:c r="H86" s="42" t="str">
        <x:v>白班</x:v>
      </x:c>
      <x:c r="I86" s="42" t="str">
        <x:v>晚班</x:v>
      </x:c>
    </x:row>
    <x:row r="87">
      <x:c r="A87" s="42" t="str">
        <x:f>MONTH('配置'!$B$5+81)&amp;"月"&amp;DAY('配置'!$B$5+81)&amp;"日"</x:f>
        <x:v>8月28日</x:v>
      </x:c>
      <x:c r="B87" s="42" t="str">
        <x:f>CHOOSE(WEEKDAY('配置'!$B$5+81,2),"周一","周二","周三","周四","周五","周六","周日")</x:f>
        <x:v>周五</x:v>
      </x:c>
      <x:c r="C87" s="42" t="n">
        <x:v>12</x:v>
      </x:c>
      <x:c r="D87" s="42" t="n">
        <x:v>3</x:v>
      </x:c>
      <x:c r="E87" s="42" t="str">
        <x:v>常规周</x:v>
      </x:c>
      <x:c r="F87" s="42" t="str">
        <x:v>休假</x:v>
      </x:c>
      <x:c r="G87" s="42" t="str">
        <x:v>休假</x:v>
      </x:c>
      <x:c r="H87" s="42" t="str">
        <x:v>白班</x:v>
      </x:c>
      <x:c r="I87" s="42" t="str">
        <x:v>晚班</x:v>
      </x:c>
    </x:row>
    <x:row r="88">
      <x:c r="A88" s="42" t="str">
        <x:f>MONTH('配置'!$B$5+82)&amp;"月"&amp;DAY('配置'!$B$5+82)&amp;"日"</x:f>
        <x:v>8月29日</x:v>
      </x:c>
      <x:c r="B88" s="42" t="str">
        <x:f>CHOOSE(WEEKDAY('配置'!$B$5+82,2),"周一","周二","周三","周四","周五","周六","周日")</x:f>
        <x:v>周六</x:v>
      </x:c>
      <x:c r="C88" s="42" t="n">
        <x:v>12</x:v>
      </x:c>
      <x:c r="D88" s="42" t="n">
        <x:v>3</x:v>
      </x:c>
      <x:c r="E88" s="42" t="str">
        <x:v>常规周</x:v>
      </x:c>
      <x:c r="F88" s="42" t="str">
        <x:v>白班</x:v>
      </x:c>
      <x:c r="G88" s="42" t="str">
        <x:v>晚班</x:v>
      </x:c>
      <x:c r="H88" s="42" t="str">
        <x:v>晚班</x:v>
      </x:c>
      <x:c r="I88" s="42" t="str">
        <x:v>休假</x:v>
      </x:c>
    </x:row>
    <x:row r="89">
      <x:c r="A89" s="42" t="str">
        <x:f>MONTH('配置'!$B$5+83)&amp;"月"&amp;DAY('配置'!$B$5+83)&amp;"日"</x:f>
        <x:v>8月30日</x:v>
      </x:c>
      <x:c r="B89" s="42" t="str">
        <x:f>CHOOSE(WEEKDAY('配置'!$B$5+83,2),"周一","周二","周三","周四","周五","周六","周日")</x:f>
        <x:v>周日</x:v>
      </x:c>
      <x:c r="C89" s="42" t="n">
        <x:v>12</x:v>
      </x:c>
      <x:c r="D89" s="42" t="n">
        <x:v>3</x:v>
      </x:c>
      <x:c r="E89" s="42" t="str">
        <x:v>常规周</x:v>
      </x:c>
      <x:c r="F89" s="42" t="str">
        <x:v>白班</x:v>
      </x:c>
      <x:c r="G89" s="42" t="str">
        <x:v>晚班</x:v>
      </x:c>
      <x:c r="H89" s="42" t="str">
        <x:v>晚班</x:v>
      </x:c>
      <x:c r="I89" s="42" t="str">
        <x:v>休假</x:v>
      </x:c>
    </x:row>
    <x:row r="90">
      <x:c r="A90" s="43" t="str">
        <x:f>MONTH('配置'!$B$5+84)&amp;"月"&amp;DAY('配置'!$B$5+84)&amp;"日"</x:f>
        <x:v>8月31日</x:v>
      </x:c>
      <x:c r="B90" s="43" t="str">
        <x:f>CHOOSE(WEEKDAY('配置'!$B$5+84,2),"周一","周二","周三","周四","周五","周六","周日")</x:f>
        <x:v>周一</x:v>
      </x:c>
      <x:c r="C90" s="43" t="n">
        <x:v>13</x:v>
      </x:c>
      <x:c r="D90" s="43" t="n">
        <x:v>4</x:v>
      </x:c>
      <x:c r="E90" s="43" t="str">
        <x:v>换休周</x:v>
      </x:c>
      <x:c r="F90" s="43" t="str">
        <x:v>白班</x:v>
      </x:c>
      <x:c r="G90" s="43" t="str">
        <x:v>白班</x:v>
      </x:c>
      <x:c r="H90" s="43" t="str">
        <x:v>晚班</x:v>
      </x:c>
      <x:c r="I90" s="43" t="str">
        <x:v>晚班</x:v>
      </x:c>
    </x:row>
    <x:row r="91">
      <x:c r="A91" s="42" t="str">
        <x:f>MONTH('配置'!$B$5+85)&amp;"月"&amp;DAY('配置'!$B$5+85)&amp;"日"</x:f>
        <x:v>9月1日</x:v>
      </x:c>
      <x:c r="B91" s="42" t="str">
        <x:f>CHOOSE(WEEKDAY('配置'!$B$5+85,2),"周一","周二","周三","周四","周五","周六","周日")</x:f>
        <x:v>周二</x:v>
      </x:c>
      <x:c r="C91" s="42" t="n">
        <x:v>13</x:v>
      </x:c>
      <x:c r="D91" s="42" t="n">
        <x:v>4</x:v>
      </x:c>
      <x:c r="E91" s="42" t="str">
        <x:v>换休周</x:v>
      </x:c>
      <x:c r="F91" s="42" t="str">
        <x:v>休假</x:v>
      </x:c>
      <x:c r="G91" s="42" t="str">
        <x:v>白班</x:v>
      </x:c>
      <x:c r="H91" s="42" t="str">
        <x:v>晚班</x:v>
      </x:c>
      <x:c r="I91" s="42" t="str">
        <x:v>白班</x:v>
      </x:c>
    </x:row>
    <x:row r="92">
      <x:c r="A92" s="42" t="str">
        <x:f>MONTH('配置'!$B$5+86)&amp;"月"&amp;DAY('配置'!$B$5+86)&amp;"日"</x:f>
        <x:v>9月2日</x:v>
      </x:c>
      <x:c r="B92" s="42" t="str">
        <x:f>CHOOSE(WEEKDAY('配置'!$B$5+86,2),"周一","周二","周三","周四","周五","周六","周日")</x:f>
        <x:v>周三</x:v>
      </x:c>
      <x:c r="C92" s="42" t="n">
        <x:v>13</x:v>
      </x:c>
      <x:c r="D92" s="42" t="n">
        <x:v>4</x:v>
      </x:c>
      <x:c r="E92" s="42" t="str">
        <x:v>换休周</x:v>
      </x:c>
      <x:c r="F92" s="42" t="str">
        <x:v>休假</x:v>
      </x:c>
      <x:c r="G92" s="42" t="str">
        <x:v>晚班</x:v>
      </x:c>
      <x:c r="H92" s="42" t="str">
        <x:v>晚班</x:v>
      </x:c>
      <x:c r="I92" s="42" t="str">
        <x:v>白班</x:v>
      </x:c>
    </x:row>
    <x:row r="93">
      <x:c r="A93" s="42" t="str">
        <x:f>MONTH('配置'!$B$5+87)&amp;"月"&amp;DAY('配置'!$B$5+87)&amp;"日"</x:f>
        <x:v>9月3日</x:v>
      </x:c>
      <x:c r="B93" s="42" t="str">
        <x:f>CHOOSE(WEEKDAY('配置'!$B$5+87,2),"周一","周二","周三","周四","周五","周六","周日")</x:f>
        <x:v>周四</x:v>
      </x:c>
      <x:c r="C93" s="42" t="n">
        <x:v>13</x:v>
      </x:c>
      <x:c r="D93" s="42" t="n">
        <x:v>4</x:v>
      </x:c>
      <x:c r="E93" s="42" t="str">
        <x:v>换休周</x:v>
      </x:c>
      <x:c r="F93" s="42" t="str">
        <x:v>白班</x:v>
      </x:c>
      <x:c r="G93" s="42" t="str">
        <x:v>晚班</x:v>
      </x:c>
      <x:c r="H93" s="42" t="str">
        <x:v>休假</x:v>
      </x:c>
      <x:c r="I93" s="42" t="str">
        <x:v>休假</x:v>
      </x:c>
    </x:row>
    <x:row r="94">
      <x:c r="A94" s="42" t="str">
        <x:f>MONTH('配置'!$B$5+88)&amp;"月"&amp;DAY('配置'!$B$5+88)&amp;"日"</x:f>
        <x:v>9月4日</x:v>
      </x:c>
      <x:c r="B94" s="42" t="str">
        <x:f>CHOOSE(WEEKDAY('配置'!$B$5+88,2),"周一","周二","周三","周四","周五","周六","周日")</x:f>
        <x:v>周五</x:v>
      </x:c>
      <x:c r="C94" s="42" t="n">
        <x:v>13</x:v>
      </x:c>
      <x:c r="D94" s="42" t="n">
        <x:v>4</x:v>
      </x:c>
      <x:c r="E94" s="42" t="str">
        <x:v>换休周</x:v>
      </x:c>
      <x:c r="F94" s="42" t="str">
        <x:v>白班</x:v>
      </x:c>
      <x:c r="G94" s="42" t="str">
        <x:v>晚班</x:v>
      </x:c>
      <x:c r="H94" s="42" t="str">
        <x:v>休假</x:v>
      </x:c>
      <x:c r="I94" s="42" t="str">
        <x:v>休假</x:v>
      </x:c>
    </x:row>
    <x:row r="95">
      <x:c r="A95" s="42" t="str">
        <x:f>MONTH('配置'!$B$5+89)&amp;"月"&amp;DAY('配置'!$B$5+89)&amp;"日"</x:f>
        <x:v>9月5日</x:v>
      </x:c>
      <x:c r="B95" s="42" t="str">
        <x:f>CHOOSE(WEEKDAY('配置'!$B$5+89,2),"周一","周二","周三","周四","周五","周六","周日")</x:f>
        <x:v>周六</x:v>
      </x:c>
      <x:c r="C95" s="42" t="n">
        <x:v>13</x:v>
      </x:c>
      <x:c r="D95" s="42" t="n">
        <x:v>4</x:v>
      </x:c>
      <x:c r="E95" s="42" t="str">
        <x:v>换休周</x:v>
      </x:c>
      <x:c r="F95" s="42" t="str">
        <x:v>晚班</x:v>
      </x:c>
      <x:c r="G95" s="42" t="str">
        <x:v>休假</x:v>
      </x:c>
      <x:c r="H95" s="42" t="str">
        <x:v>白班</x:v>
      </x:c>
      <x:c r="I95" s="42" t="str">
        <x:v>晚班</x:v>
      </x:c>
    </x:row>
    <x:row r="96">
      <x:c r="A96" s="42" t="str">
        <x:f>MONTH('配置'!$B$5+90)&amp;"月"&amp;DAY('配置'!$B$5+90)&amp;"日"</x:f>
        <x:v>9月6日</x:v>
      </x:c>
      <x:c r="B96" s="42" t="str">
        <x:f>CHOOSE(WEEKDAY('配置'!$B$5+90,2),"周一","周二","周三","周四","周五","周六","周日")</x:f>
        <x:v>周日</x:v>
      </x:c>
      <x:c r="C96" s="42" t="n">
        <x:v>13</x:v>
      </x:c>
      <x:c r="D96" s="42" t="n">
        <x:v>4</x:v>
      </x:c>
      <x:c r="E96" s="42" t="str">
        <x:v>换休周</x:v>
      </x:c>
      <x:c r="F96" s="42" t="str">
        <x:v>晚班</x:v>
      </x:c>
      <x:c r="G96" s="42" t="str">
        <x:v>休假</x:v>
      </x:c>
      <x:c r="H96" s="42" t="str">
        <x:v>白班</x:v>
      </x:c>
      <x:c r="I96" s="42" t="str">
        <x:v>晚班</x:v>
      </x:c>
    </x:row>
    <x:row r="97">
      <x:c r="A97" s="43" t="str">
        <x:f>MONTH('配置'!$B$5+91)&amp;"月"&amp;DAY('配置'!$B$5+91)&amp;"日"</x:f>
        <x:v>9月7日</x:v>
      </x:c>
      <x:c r="B97" s="43" t="str">
        <x:f>CHOOSE(WEEKDAY('配置'!$B$5+91,2),"周一","周二","周三","周四","周五","周六","周日")</x:f>
        <x:v>周一</x:v>
      </x:c>
      <x:c r="C97" s="43" t="n">
        <x:v>14</x:v>
      </x:c>
      <x:c r="D97" s="43" t="n">
        <x:v>4</x:v>
      </x:c>
      <x:c r="E97" s="43" t="str">
        <x:v>常规周</x:v>
      </x:c>
      <x:c r="F97" s="43" t="str">
        <x:v>晚班</x:v>
      </x:c>
      <x:c r="G97" s="43" t="str">
        <x:v>白班</x:v>
      </x:c>
      <x:c r="H97" s="43" t="str">
        <x:v>晚班</x:v>
      </x:c>
      <x:c r="I97" s="43" t="str">
        <x:v>白班</x:v>
      </x:c>
    </x:row>
    <x:row r="98">
      <x:c r="A98" s="42" t="str">
        <x:f>MONTH('配置'!$B$5+92)&amp;"月"&amp;DAY('配置'!$B$5+92)&amp;"日"</x:f>
        <x:v>9月8日</x:v>
      </x:c>
      <x:c r="B98" s="42" t="str">
        <x:f>CHOOSE(WEEKDAY('配置'!$B$5+92,2),"周一","周二","周三","周四","周五","周六","周日")</x:f>
        <x:v>周二</x:v>
      </x:c>
      <x:c r="C98" s="42" t="n">
        <x:v>14</x:v>
      </x:c>
      <x:c r="D98" s="42" t="n">
        <x:v>4</x:v>
      </x:c>
      <x:c r="E98" s="42" t="str">
        <x:v>常规周</x:v>
      </x:c>
      <x:c r="F98" s="42" t="str">
        <x:v>白班</x:v>
      </x:c>
      <x:c r="G98" s="42" t="str">
        <x:v>白班</x:v>
      </x:c>
      <x:c r="H98" s="42" t="str">
        <x:v>晚班</x:v>
      </x:c>
      <x:c r="I98" s="42" t="str">
        <x:v>休假</x:v>
      </x:c>
    </x:row>
    <x:row r="99">
      <x:c r="A99" s="42" t="str">
        <x:f>MONTH('配置'!$B$5+93)&amp;"月"&amp;DAY('配置'!$B$5+93)&amp;"日"</x:f>
        <x:v>9月9日</x:v>
      </x:c>
      <x:c r="B99" s="42" t="str">
        <x:f>CHOOSE(WEEKDAY('配置'!$B$5+93,2),"周一","周二","周三","周四","周五","周六","周日")</x:f>
        <x:v>周三</x:v>
      </x:c>
      <x:c r="C99" s="42" t="n">
        <x:v>14</x:v>
      </x:c>
      <x:c r="D99" s="42" t="n">
        <x:v>4</x:v>
      </x:c>
      <x:c r="E99" s="42" t="str">
        <x:v>常规周</x:v>
      </x:c>
      <x:c r="F99" s="42" t="str">
        <x:v>白班</x:v>
      </x:c>
      <x:c r="G99" s="42" t="str">
        <x:v>晚班</x:v>
      </x:c>
      <x:c r="H99" s="42" t="str">
        <x:v>晚班</x:v>
      </x:c>
      <x:c r="I99" s="42" t="str">
        <x:v>休假</x:v>
      </x:c>
    </x:row>
    <x:row r="100">
      <x:c r="A100" s="42" t="str">
        <x:f>MONTH('配置'!$B$5+94)&amp;"月"&amp;DAY('配置'!$B$5+94)&amp;"日"</x:f>
        <x:v>9月10日</x:v>
      </x:c>
      <x:c r="B100" s="42" t="str">
        <x:f>CHOOSE(WEEKDAY('配置'!$B$5+94,2),"周一","周二","周三","周四","周五","周六","周日")</x:f>
        <x:v>周四</x:v>
      </x:c>
      <x:c r="C100" s="42" t="n">
        <x:v>14</x:v>
      </x:c>
      <x:c r="D100" s="42" t="n">
        <x:v>4</x:v>
      </x:c>
      <x:c r="E100" s="42" t="str">
        <x:v>常规周</x:v>
      </x:c>
      <x:c r="F100" s="42" t="str">
        <x:v>休假</x:v>
      </x:c>
      <x:c r="G100" s="42" t="str">
        <x:v>晚班</x:v>
      </x:c>
      <x:c r="H100" s="42" t="str">
        <x:v>休假</x:v>
      </x:c>
      <x:c r="I100" s="42" t="str">
        <x:v>白班</x:v>
      </x:c>
    </x:row>
    <x:row r="101">
      <x:c r="A101" s="42" t="str">
        <x:f>MONTH('配置'!$B$5+95)&amp;"月"&amp;DAY('配置'!$B$5+95)&amp;"日"</x:f>
        <x:v>9月11日</x:v>
      </x:c>
      <x:c r="B101" s="42" t="str">
        <x:f>CHOOSE(WEEKDAY('配置'!$B$5+95,2),"周一","周二","周三","周四","周五","周六","周日")</x:f>
        <x:v>周五</x:v>
      </x:c>
      <x:c r="C101" s="42" t="n">
        <x:v>14</x:v>
      </x:c>
      <x:c r="D101" s="42" t="n">
        <x:v>4</x:v>
      </x:c>
      <x:c r="E101" s="42" t="str">
        <x:v>常规周</x:v>
      </x:c>
      <x:c r="F101" s="42" t="str">
        <x:v>休假</x:v>
      </x:c>
      <x:c r="G101" s="42" t="str">
        <x:v>晚班</x:v>
      </x:c>
      <x:c r="H101" s="42" t="str">
        <x:v>休假</x:v>
      </x:c>
      <x:c r="I101" s="42" t="str">
        <x:v>白班</x:v>
      </x:c>
    </x:row>
    <x:row r="102">
      <x:c r="A102" s="42" t="str">
        <x:f>MONTH('配置'!$B$5+96)&amp;"月"&amp;DAY('配置'!$B$5+96)&amp;"日"</x:f>
        <x:v>9月12日</x:v>
      </x:c>
      <x:c r="B102" s="42" t="str">
        <x:f>CHOOSE(WEEKDAY('配置'!$B$5+96,2),"周一","周二","周三","周四","周五","周六","周日")</x:f>
        <x:v>周六</x:v>
      </x:c>
      <x:c r="C102" s="42" t="n">
        <x:v>14</x:v>
      </x:c>
      <x:c r="D102" s="42" t="n">
        <x:v>4</x:v>
      </x:c>
      <x:c r="E102" s="42" t="str">
        <x:v>常规周</x:v>
      </x:c>
      <x:c r="F102" s="42" t="str">
        <x:v>晚班</x:v>
      </x:c>
      <x:c r="G102" s="42" t="str">
        <x:v>休假</x:v>
      </x:c>
      <x:c r="H102" s="42" t="str">
        <x:v>白班</x:v>
      </x:c>
      <x:c r="I102" s="42" t="str">
        <x:v>晚班</x:v>
      </x:c>
    </x:row>
    <x:row r="103">
      <x:c r="A103" s="42" t="str">
        <x:f>MONTH('配置'!$B$5+97)&amp;"月"&amp;DAY('配置'!$B$5+97)&amp;"日"</x:f>
        <x:v>9月13日</x:v>
      </x:c>
      <x:c r="B103" s="42" t="str">
        <x:f>CHOOSE(WEEKDAY('配置'!$B$5+97,2),"周一","周二","周三","周四","周五","周六","周日")</x:f>
        <x:v>周日</x:v>
      </x:c>
      <x:c r="C103" s="42" t="n">
        <x:v>14</x:v>
      </x:c>
      <x:c r="D103" s="42" t="n">
        <x:v>4</x:v>
      </x:c>
      <x:c r="E103" s="42" t="str">
        <x:v>常规周</x:v>
      </x:c>
      <x:c r="F103" s="42" t="str">
        <x:v>晚班</x:v>
      </x:c>
      <x:c r="G103" s="42" t="str">
        <x:v>休假</x:v>
      </x:c>
      <x:c r="H103" s="42" t="str">
        <x:v>白班</x:v>
      </x:c>
      <x:c r="I103" s="42" t="str">
        <x:v>晚班</x:v>
      </x:c>
    </x:row>
    <x:row r="104">
      <x:c r="A104" s="43" t="str">
        <x:f>MONTH('配置'!$B$5+98)&amp;"月"&amp;DAY('配置'!$B$5+98)&amp;"日"</x:f>
        <x:v>9月14日</x:v>
      </x:c>
      <x:c r="B104" s="43" t="str">
        <x:f>CHOOSE(WEEKDAY('配置'!$B$5+98,2),"周一","周二","周三","周四","周五","周六","周日")</x:f>
        <x:v>周一</x:v>
      </x:c>
      <x:c r="C104" s="43" t="n">
        <x:v>15</x:v>
      </x:c>
      <x:c r="D104" s="43" t="n">
        <x:v>4</x:v>
      </x:c>
      <x:c r="E104" s="43" t="str">
        <x:v>常规周</x:v>
      </x:c>
      <x:c r="F104" s="43" t="str">
        <x:v>晚班</x:v>
      </x:c>
      <x:c r="G104" s="43" t="str">
        <x:v>白班</x:v>
      </x:c>
      <x:c r="H104" s="43" t="str">
        <x:v>晚班</x:v>
      </x:c>
      <x:c r="I104" s="43" t="str">
        <x:v>白班</x:v>
      </x:c>
    </x:row>
    <x:row r="105">
      <x:c r="A105" s="42" t="str">
        <x:f>MONTH('配置'!$B$5+99)&amp;"月"&amp;DAY('配置'!$B$5+99)&amp;"日"</x:f>
        <x:v>9月15日</x:v>
      </x:c>
      <x:c r="B105" s="42" t="str">
        <x:f>CHOOSE(WEEKDAY('配置'!$B$5+99,2),"周一","周二","周三","周四","周五","周六","周日")</x:f>
        <x:v>周二</x:v>
      </x:c>
      <x:c r="C105" s="42" t="n">
        <x:v>15</x:v>
      </x:c>
      <x:c r="D105" s="42" t="n">
        <x:v>4</x:v>
      </x:c>
      <x:c r="E105" s="42" t="str">
        <x:v>常规周</x:v>
      </x:c>
      <x:c r="F105" s="42" t="str">
        <x:v>白班</x:v>
      </x:c>
      <x:c r="G105" s="42" t="str">
        <x:v>白班</x:v>
      </x:c>
      <x:c r="H105" s="42" t="str">
        <x:v>晚班</x:v>
      </x:c>
      <x:c r="I105" s="42" t="str">
        <x:v>休假</x:v>
      </x:c>
    </x:row>
    <x:row r="106">
      <x:c r="A106" s="42" t="str">
        <x:f>MONTH('配置'!$B$5+100)&amp;"月"&amp;DAY('配置'!$B$5+100)&amp;"日"</x:f>
        <x:v>9月16日</x:v>
      </x:c>
      <x:c r="B106" s="42" t="str">
        <x:f>CHOOSE(WEEKDAY('配置'!$B$5+100,2),"周一","周二","周三","周四","周五","周六","周日")</x:f>
        <x:v>周三</x:v>
      </x:c>
      <x:c r="C106" s="42" t="n">
        <x:v>15</x:v>
      </x:c>
      <x:c r="D106" s="42" t="n">
        <x:v>4</x:v>
      </x:c>
      <x:c r="E106" s="42" t="str">
        <x:v>常规周</x:v>
      </x:c>
      <x:c r="F106" s="42" t="str">
        <x:v>白班</x:v>
      </x:c>
      <x:c r="G106" s="42" t="str">
        <x:v>晚班</x:v>
      </x:c>
      <x:c r="H106" s="42" t="str">
        <x:v>晚班</x:v>
      </x:c>
      <x:c r="I106" s="42" t="str">
        <x:v>休假</x:v>
      </x:c>
    </x:row>
    <x:row r="107">
      <x:c r="A107" s="42" t="str">
        <x:f>MONTH('配置'!$B$5+101)&amp;"月"&amp;DAY('配置'!$B$5+101)&amp;"日"</x:f>
        <x:v>9月17日</x:v>
      </x:c>
      <x:c r="B107" s="42" t="str">
        <x:f>CHOOSE(WEEKDAY('配置'!$B$5+101,2),"周一","周二","周三","周四","周五","周六","周日")</x:f>
        <x:v>周四</x:v>
      </x:c>
      <x:c r="C107" s="42" t="n">
        <x:v>15</x:v>
      </x:c>
      <x:c r="D107" s="42" t="n">
        <x:v>4</x:v>
      </x:c>
      <x:c r="E107" s="42" t="str">
        <x:v>常规周</x:v>
      </x:c>
      <x:c r="F107" s="42" t="str">
        <x:v>休假</x:v>
      </x:c>
      <x:c r="G107" s="42" t="str">
        <x:v>晚班</x:v>
      </x:c>
      <x:c r="H107" s="42" t="str">
        <x:v>休假</x:v>
      </x:c>
      <x:c r="I107" s="42" t="str">
        <x:v>白班</x:v>
      </x:c>
    </x:row>
    <x:row r="108">
      <x:c r="A108" s="42" t="str">
        <x:f>MONTH('配置'!$B$5+102)&amp;"月"&amp;DAY('配置'!$B$5+102)&amp;"日"</x:f>
        <x:v>9月18日</x:v>
      </x:c>
      <x:c r="B108" s="42" t="str">
        <x:f>CHOOSE(WEEKDAY('配置'!$B$5+102,2),"周一","周二","周三","周四","周五","周六","周日")</x:f>
        <x:v>周五</x:v>
      </x:c>
      <x:c r="C108" s="42" t="n">
        <x:v>15</x:v>
      </x:c>
      <x:c r="D108" s="42" t="n">
        <x:v>4</x:v>
      </x:c>
      <x:c r="E108" s="42" t="str">
        <x:v>常规周</x:v>
      </x:c>
      <x:c r="F108" s="42" t="str">
        <x:v>休假</x:v>
      </x:c>
      <x:c r="G108" s="42" t="str">
        <x:v>晚班</x:v>
      </x:c>
      <x:c r="H108" s="42" t="str">
        <x:v>休假</x:v>
      </x:c>
      <x:c r="I108" s="42" t="str">
        <x:v>白班</x:v>
      </x:c>
    </x:row>
    <x:row r="109">
      <x:c r="A109" s="42" t="str">
        <x:f>MONTH('配置'!$B$5+103)&amp;"月"&amp;DAY('配置'!$B$5+103)&amp;"日"</x:f>
        <x:v>9月19日</x:v>
      </x:c>
      <x:c r="B109" s="42" t="str">
        <x:f>CHOOSE(WEEKDAY('配置'!$B$5+103,2),"周一","周二","周三","周四","周五","周六","周日")</x:f>
        <x:v>周六</x:v>
      </x:c>
      <x:c r="C109" s="42" t="n">
        <x:v>15</x:v>
      </x:c>
      <x:c r="D109" s="42" t="n">
        <x:v>4</x:v>
      </x:c>
      <x:c r="E109" s="42" t="str">
        <x:v>常规周</x:v>
      </x:c>
      <x:c r="F109" s="42" t="str">
        <x:v>晚班</x:v>
      </x:c>
      <x:c r="G109" s="42" t="str">
        <x:v>休假</x:v>
      </x:c>
      <x:c r="H109" s="42" t="str">
        <x:v>白班</x:v>
      </x:c>
      <x:c r="I109" s="42" t="str">
        <x:v>晚班</x:v>
      </x:c>
    </x:row>
    <x:row r="110">
      <x:c r="A110" s="42" t="str">
        <x:f>MONTH('配置'!$B$5+104)&amp;"月"&amp;DAY('配置'!$B$5+104)&amp;"日"</x:f>
        <x:v>9月20日</x:v>
      </x:c>
      <x:c r="B110" s="42" t="str">
        <x:f>CHOOSE(WEEKDAY('配置'!$B$5+104,2),"周一","周二","周三","周四","周五","周六","周日")</x:f>
        <x:v>周日</x:v>
      </x:c>
      <x:c r="C110" s="42" t="n">
        <x:v>15</x:v>
      </x:c>
      <x:c r="D110" s="42" t="n">
        <x:v>4</x:v>
      </x:c>
      <x:c r="E110" s="42" t="str">
        <x:v>常规周</x:v>
      </x:c>
      <x:c r="F110" s="42" t="str">
        <x:v>晚班</x:v>
      </x:c>
      <x:c r="G110" s="42" t="str">
        <x:v>休假</x:v>
      </x:c>
      <x:c r="H110" s="42" t="str">
        <x:v>白班</x:v>
      </x:c>
      <x:c r="I110" s="42" t="str">
        <x:v>晚班</x:v>
      </x:c>
    </x:row>
    <x:row r="111">
      <x:c r="A111" s="43" t="str">
        <x:f>MONTH('配置'!$B$5+105)&amp;"月"&amp;DAY('配置'!$B$5+105)&amp;"日"</x:f>
        <x:v>9月21日</x:v>
      </x:c>
      <x:c r="B111" s="43" t="str">
        <x:f>CHOOSE(WEEKDAY('配置'!$B$5+105,2),"周一","周二","周三","周四","周五","周六","周日")</x:f>
        <x:v>周一</x:v>
      </x:c>
      <x:c r="C111" s="43" t="n">
        <x:v>16</x:v>
      </x:c>
      <x:c r="D111" s="43" t="n">
        <x:v>4</x:v>
      </x:c>
      <x:c r="E111" s="43" t="str">
        <x:v>常规周</x:v>
      </x:c>
      <x:c r="F111" s="43" t="str">
        <x:v>晚班</x:v>
      </x:c>
      <x:c r="G111" s="43" t="str">
        <x:v>白班</x:v>
      </x:c>
      <x:c r="H111" s="43" t="str">
        <x:v>晚班</x:v>
      </x:c>
      <x:c r="I111" s="43" t="str">
        <x:v>白班</x:v>
      </x:c>
    </x:row>
    <x:row r="112">
      <x:c r="A112" s="42" t="str">
        <x:f>MONTH('配置'!$B$5+106)&amp;"月"&amp;DAY('配置'!$B$5+106)&amp;"日"</x:f>
        <x:v>9月22日</x:v>
      </x:c>
      <x:c r="B112" s="42" t="str">
        <x:f>CHOOSE(WEEKDAY('配置'!$B$5+106,2),"周一","周二","周三","周四","周五","周六","周日")</x:f>
        <x:v>周二</x:v>
      </x:c>
      <x:c r="C112" s="42" t="n">
        <x:v>16</x:v>
      </x:c>
      <x:c r="D112" s="42" t="n">
        <x:v>4</x:v>
      </x:c>
      <x:c r="E112" s="42" t="str">
        <x:v>常规周</x:v>
      </x:c>
      <x:c r="F112" s="42" t="str">
        <x:v>白班</x:v>
      </x:c>
      <x:c r="G112" s="42" t="str">
        <x:v>白班</x:v>
      </x:c>
      <x:c r="H112" s="42" t="str">
        <x:v>晚班</x:v>
      </x:c>
      <x:c r="I112" s="42" t="str">
        <x:v>休假</x:v>
      </x:c>
    </x:row>
    <x:row r="113">
      <x:c r="A113" s="42" t="str">
        <x:f>MONTH('配置'!$B$5+107)&amp;"月"&amp;DAY('配置'!$B$5+107)&amp;"日"</x:f>
        <x:v>9月23日</x:v>
      </x:c>
      <x:c r="B113" s="42" t="str">
        <x:f>CHOOSE(WEEKDAY('配置'!$B$5+107,2),"周一","周二","周三","周四","周五","周六","周日")</x:f>
        <x:v>周三</x:v>
      </x:c>
      <x:c r="C113" s="42" t="n">
        <x:v>16</x:v>
      </x:c>
      <x:c r="D113" s="42" t="n">
        <x:v>4</x:v>
      </x:c>
      <x:c r="E113" s="42" t="str">
        <x:v>常规周</x:v>
      </x:c>
      <x:c r="F113" s="42" t="str">
        <x:v>白班</x:v>
      </x:c>
      <x:c r="G113" s="42" t="str">
        <x:v>晚班</x:v>
      </x:c>
      <x:c r="H113" s="42" t="str">
        <x:v>晚班</x:v>
      </x:c>
      <x:c r="I113" s="42" t="str">
        <x:v>休假</x:v>
      </x:c>
    </x:row>
    <x:row r="114">
      <x:c r="A114" s="42" t="str">
        <x:f>MONTH('配置'!$B$5+108)&amp;"月"&amp;DAY('配置'!$B$5+108)&amp;"日"</x:f>
        <x:v>9月24日</x:v>
      </x:c>
      <x:c r="B114" s="42" t="str">
        <x:f>CHOOSE(WEEKDAY('配置'!$B$5+108,2),"周一","周二","周三","周四","周五","周六","周日")</x:f>
        <x:v>周四</x:v>
      </x:c>
      <x:c r="C114" s="42" t="n">
        <x:v>16</x:v>
      </x:c>
      <x:c r="D114" s="42" t="n">
        <x:v>4</x:v>
      </x:c>
      <x:c r="E114" s="42" t="str">
        <x:v>常规周</x:v>
      </x:c>
      <x:c r="F114" s="42" t="str">
        <x:v>休假</x:v>
      </x:c>
      <x:c r="G114" s="42" t="str">
        <x:v>晚班</x:v>
      </x:c>
      <x:c r="H114" s="42" t="str">
        <x:v>休假</x:v>
      </x:c>
      <x:c r="I114" s="42" t="str">
        <x:v>白班</x:v>
      </x:c>
    </x:row>
    <x:row r="115">
      <x:c r="A115" s="42" t="str">
        <x:f>MONTH('配置'!$B$5+109)&amp;"月"&amp;DAY('配置'!$B$5+109)&amp;"日"</x:f>
        <x:v>9月25日</x:v>
      </x:c>
      <x:c r="B115" s="42" t="str">
        <x:f>CHOOSE(WEEKDAY('配置'!$B$5+109,2),"周一","周二","周三","周四","周五","周六","周日")</x:f>
        <x:v>周五</x:v>
      </x:c>
      <x:c r="C115" s="42" t="n">
        <x:v>16</x:v>
      </x:c>
      <x:c r="D115" s="42" t="n">
        <x:v>4</x:v>
      </x:c>
      <x:c r="E115" s="42" t="str">
        <x:v>常规周</x:v>
      </x:c>
      <x:c r="F115" s="42" t="str">
        <x:v>休假</x:v>
      </x:c>
      <x:c r="G115" s="42" t="str">
        <x:v>晚班</x:v>
      </x:c>
      <x:c r="H115" s="42" t="str">
        <x:v>休假</x:v>
      </x:c>
      <x:c r="I115" s="42" t="str">
        <x:v>白班</x:v>
      </x:c>
    </x:row>
    <x:row r="116">
      <x:c r="A116" s="42" t="str">
        <x:f>MONTH('配置'!$B$5+110)&amp;"月"&amp;DAY('配置'!$B$5+110)&amp;"日"</x:f>
        <x:v>9月26日</x:v>
      </x:c>
      <x:c r="B116" s="42" t="str">
        <x:f>CHOOSE(WEEKDAY('配置'!$B$5+110,2),"周一","周二","周三","周四","周五","周六","周日")</x:f>
        <x:v>周六</x:v>
      </x:c>
      <x:c r="C116" s="42" t="n">
        <x:v>16</x:v>
      </x:c>
      <x:c r="D116" s="42" t="n">
        <x:v>4</x:v>
      </x:c>
      <x:c r="E116" s="42" t="str">
        <x:v>常规周</x:v>
      </x:c>
      <x:c r="F116" s="42" t="str">
        <x:v>晚班</x:v>
      </x:c>
      <x:c r="G116" s="42" t="str">
        <x:v>休假</x:v>
      </x:c>
      <x:c r="H116" s="42" t="str">
        <x:v>白班</x:v>
      </x:c>
      <x:c r="I116" s="42" t="str">
        <x:v>晚班</x:v>
      </x:c>
    </x:row>
    <x:row r="117">
      <x:c r="A117" s="42" t="str">
        <x:f>MONTH('配置'!$B$5+111)&amp;"月"&amp;DAY('配置'!$B$5+111)&amp;"日"</x:f>
        <x:v>9月27日</x:v>
      </x:c>
      <x:c r="B117" s="42" t="str">
        <x:f>CHOOSE(WEEKDAY('配置'!$B$5+111,2),"周一","周二","周三","周四","周五","周六","周日")</x:f>
        <x:v>周日</x:v>
      </x:c>
      <x:c r="C117" s="42" t="n">
        <x:v>16</x:v>
      </x:c>
      <x:c r="D117" s="42" t="n">
        <x:v>4</x:v>
      </x:c>
      <x:c r="E117" s="42" t="str">
        <x:v>常规周</x:v>
      </x:c>
      <x:c r="F117" s="42" t="str">
        <x:v>晚班</x:v>
      </x:c>
      <x:c r="G117" s="42" t="str">
        <x:v>休假</x:v>
      </x:c>
      <x:c r="H117" s="42" t="str">
        <x:v>白班</x:v>
      </x:c>
      <x:c r="I117" s="42" t="str">
        <x:v>晚班</x:v>
      </x:c>
    </x:row>
  </x:sheetData>
  <x:mergeCells>
    <x:mergeCell ref="A1:I1"/>
    <x:mergeCell ref="A2:I2"/>
  </x:mergeCells>
  <x:conditionalFormatting sqref="F6:I117">
    <x:cfRule type="containsText" dxfId="0" priority="1" operator="containsText" text="白班"/>
    <x:cfRule type="containsText" dxfId="1" priority="2" operator="containsText" text="晚班"/>
    <x:cfRule type="containsText" dxfId="2" priority="3" operator="containsText" text="休假"/>
  </x:conditionalFormatting>
  <x:conditionalFormatting sqref="E6:E117">
    <x:cfRule type="containsText" dxfId="3" priority="4" operator="containsText" text="换休周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8.75" hidden="0" customWidth="1"/>
    <x:col min="3" max="3" width="8.7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22.5" customHeight="1">
      <x:c r="A1" s="4" t="str">
        <x:v>班次汇总</x:v>
      </x:c>
      <x:c r="B1" s="4"/>
      <x:c r="C1" s="4"/>
      <x:c r="D1" s="4"/>
      <x:c r="E1" s="4"/>
      <x:c r="F1" s="4"/>
      <x:c r="G1" s="4"/>
      <x:c r="H1" s="4"/>
    </x:row>
    <x:row r="3">
      <x:c r="A3" s="40" t="str">
        <x:v>员工</x:v>
      </x:c>
      <x:c r="B3" s="40" t="str">
        <x:v>白班</x:v>
      </x:c>
      <x:c r="C3" s="40" t="str">
        <x:v>晚班</x:v>
      </x:c>
      <x:c r="D3" s="40" t="str">
        <x:v>休假</x:v>
      </x:c>
      <x:c r="E3" s="40" t="str">
        <x:v>周末休假</x:v>
      </x:c>
      <x:c r="F3" s="40" t="str">
        <x:v>周末白班</x:v>
      </x:c>
      <x:c r="G3" s="40" t="str">
        <x:v>周末晚班</x:v>
      </x:c>
    </x:row>
    <x:row r="4">
      <x:c r="A4" s="42" t="str">
        <x:v>客服A</x:v>
      </x:c>
      <x:c r="B4" s="42" t="n">
        <x:f>COUNTIF('排班表'!F$6:F$117,"白班")</x:f>
        <x:v>36</x:v>
      </x:c>
      <x:c r="C4" s="42" t="n">
        <x:f>COUNTIF('排班表'!F$6:F$117,"晚班")</x:f>
        <x:v>44</x:v>
      </x:c>
      <x:c r="D4" s="42" t="n">
        <x:f>COUNTIF('排班表'!F$6:F$117,"休假")</x:f>
        <x:v>32</x:v>
      </x:c>
      <x:c r="E4" s="42" t="n">
        <x:f>COUNTIFS('排班表'!$F$6:$F$117,"休假",'排班表'!$B$6:$B$117,"周六")+COUNTIFS('排班表'!$F$6:$F$117,"休假",'排班表'!$B$6:$B$117,"周日")</x:f>
        <x:v>8</x:v>
      </x:c>
      <x:c r="F4" s="42" t="n">
        <x:f>COUNTIFS('排班表'!$F$6:$F$117,"白班",'排班表'!$B$6:$B$117,"周六")+COUNTIFS('排班表'!$F$6:$F$117,"白班",'排班表'!$B$6:$B$117,"周日")</x:f>
        <x:v>8</x:v>
      </x:c>
      <x:c r="G4" s="42" t="n">
        <x:f>COUNTIFS('排班表'!$F$6:$F$117,"晚班",'排班表'!$B$6:$B$117,"周六")+COUNTIFS('排班表'!$F$6:$F$117,"晚班",'排班表'!$B$6:$B$117,"周日")</x:f>
        <x:v>16</x:v>
      </x:c>
    </x:row>
    <x:row r="5">
      <x:c r="A5" s="42" t="str">
        <x:v>客服B</x:v>
      </x:c>
      <x:c r="B5" s="42" t="n">
        <x:f>COUNTIF('排班表'!G$6:G$117,"白班")</x:f>
        <x:v>37</x:v>
      </x:c>
      <x:c r="C5" s="42" t="n">
        <x:f>COUNTIF('排班表'!G$6:G$117,"晚班")</x:f>
        <x:v>43</x:v>
      </x:c>
      <x:c r="D5" s="42" t="n">
        <x:f>COUNTIF('排班表'!G$6:G$117,"休假")</x:f>
        <x:v>32</x:v>
      </x:c>
      <x:c r="E5" s="42" t="n">
        <x:f>COUNTIFS('排班表'!$G$6:$G$117,"休假",'排班表'!$B$6:$B$117,"周六")+COUNTIFS('排班表'!$G$6:$G$117,"休假",'排班表'!$B$6:$B$117,"周日")</x:f>
        <x:v>8</x:v>
      </x:c>
      <x:c r="F5" s="42" t="n">
        <x:f>COUNTIFS('排班表'!$G$6:$G$117,"白班",'排班表'!$B$6:$B$117,"周六")+COUNTIFS('排班表'!$G$6:$G$117,"白班",'排班表'!$B$6:$B$117,"周日")</x:f>
        <x:v>8</x:v>
      </x:c>
      <x:c r="G5" s="42" t="n">
        <x:f>COUNTIFS('排班表'!$G$6:$G$117,"晚班",'排班表'!$B$6:$B$117,"周六")+COUNTIFS('排班表'!$G$6:$G$117,"晚班",'排班表'!$B$6:$B$117,"周日")</x:f>
        <x:v>16</x:v>
      </x:c>
    </x:row>
    <x:row r="6">
      <x:c r="A6" s="42" t="str">
        <x:v>客服C</x:v>
      </x:c>
      <x:c r="B6" s="42" t="n">
        <x:f>COUNTIF('排班表'!H$6:H$117,"白班")</x:f>
        <x:v>35</x:v>
      </x:c>
      <x:c r="C6" s="42" t="n">
        <x:f>COUNTIF('排班表'!H$6:H$117,"晚班")</x:f>
        <x:v>45</x:v>
      </x:c>
      <x:c r="D6" s="42" t="n">
        <x:f>COUNTIF('排班表'!H$6:H$117,"休假")</x:f>
        <x:v>32</x:v>
      </x:c>
      <x:c r="E6" s="42" t="n">
        <x:f>COUNTIFS('排班表'!$H$6:$H$117,"休假",'排班表'!$B$6:$B$117,"周六")+COUNTIFS('排班表'!$H$6:$H$117,"休假",'排班表'!$B$6:$B$117,"周日")</x:f>
        <x:v>8</x:v>
      </x:c>
      <x:c r="F6" s="42" t="n">
        <x:f>COUNTIFS('排班表'!$H$6:$H$117,"白班",'排班表'!$B$6:$B$117,"周六")+COUNTIFS('排班表'!$H$6:$H$117,"白班",'排班表'!$B$6:$B$117,"周日")</x:f>
        <x:v>8</x:v>
      </x:c>
      <x:c r="G6" s="42" t="n">
        <x:f>COUNTIFS('排班表'!$H$6:$H$117,"晚班",'排班表'!$B$6:$B$117,"周六")+COUNTIFS('排班表'!$H$6:$H$117,"晚班",'排班表'!$B$6:$B$117,"周日")</x:f>
        <x:v>16</x:v>
      </x:c>
    </x:row>
    <x:row r="7">
      <x:c r="A7" s="42" t="str">
        <x:v>客服D</x:v>
      </x:c>
      <x:c r="B7" s="42" t="n">
        <x:f>COUNTIF('排班表'!I$6:I$117,"白班")</x:f>
        <x:v>36</x:v>
      </x:c>
      <x:c r="C7" s="42" t="n">
        <x:f>COUNTIF('排班表'!I$6:I$117,"晚班")</x:f>
        <x:v>44</x:v>
      </x:c>
      <x:c r="D7" s="42" t="n">
        <x:f>COUNTIF('排班表'!I$6:I$117,"休假")</x:f>
        <x:v>32</x:v>
      </x:c>
      <x:c r="E7" s="42" t="n">
        <x:f>COUNTIFS('排班表'!$I$6:$I$117,"休假",'排班表'!$B$6:$B$117,"周六")+COUNTIFS('排班表'!$I$6:$I$117,"休假",'排班表'!$B$6:$B$117,"周日")</x:f>
        <x:v>8</x:v>
      </x:c>
      <x:c r="F7" s="42" t="n">
        <x:f>COUNTIFS('排班表'!$I$6:$I$117,"白班",'排班表'!$B$6:$B$117,"周六")+COUNTIFS('排班表'!$I$6:$I$117,"白班",'排班表'!$B$6:$B$117,"周日")</x:f>
        <x:v>8</x:v>
      </x:c>
      <x:c r="G7" s="42" t="n">
        <x:f>COUNTIFS('排班表'!$I$6:$I$117,"晚班",'排班表'!$B$6:$B$117,"周六")+COUNTIFS('排班表'!$I$6:$I$117,"晚班",'排班表'!$B$6:$B$117,"周日")</x:f>
        <x:v>16</x:v>
      </x:c>
    </x:row>
    <x:row r="8">
      <x:c r="A8" s="48"/>
      <x:c r="B8" s="48"/>
      <x:c r="C8" s="48"/>
      <x:c r="D8" s="48"/>
      <x:c r="E8" s="48"/>
      <x:c r="F8" s="48"/>
      <x:c r="G8" s="48"/>
    </x:row>
    <x:row r="9">
      <x:c r="A9" s="48"/>
      <x:c r="B9" s="48"/>
      <x:c r="C9" s="48"/>
      <x:c r="D9" s="48"/>
      <x:c r="E9" s="48"/>
      <x:c r="F9" s="48"/>
      <x:c r="G9" s="48"/>
    </x:row>
    <x:row r="10">
      <x:c r="A10" s="49" t="str">
        <x:v>周次</x:v>
      </x:c>
      <x:c r="B10" s="49" t="str">
        <x:v>4周周期</x:v>
      </x:c>
      <x:c r="C10" s="49" t="str">
        <x:v>周类型</x:v>
      </x:c>
      <x:c r="D10" s="49" t="str">
        <x:v>周末休</x:v>
      </x:c>
      <x:c r="E10" s="49" t="str">
        <x:v>周二三休</x:v>
      </x:c>
      <x:c r="F10" s="49" t="str">
        <x:v>周四五休A</x:v>
      </x:c>
      <x:c r="G10" s="49" t="str">
        <x:v>周四五休B</x:v>
      </x:c>
    </x:row>
    <x:row r="11">
      <x:c r="A11" s="42" t="n">
        <x:v>1</x:v>
      </x:c>
      <x:c r="B11" s="42" t="n">
        <x:v>1</x:v>
      </x:c>
      <x:c r="C11" s="42" t="str">
        <x:v>常规周</x:v>
      </x:c>
      <x:c r="D11" s="42" t="str">
        <x:v>客服A</x:v>
      </x:c>
      <x:c r="E11" s="42" t="str">
        <x:v>客服B</x:v>
      </x:c>
      <x:c r="F11" s="42" t="str">
        <x:v>客服C</x:v>
      </x:c>
      <x:c r="G11" s="42" t="str">
        <x:v>客服D</x:v>
      </x:c>
    </x:row>
    <x:row r="12">
      <x:c r="A12" s="42" t="n">
        <x:v>2</x:v>
      </x:c>
      <x:c r="B12" s="42" t="n">
        <x:v>1</x:v>
      </x:c>
      <x:c r="C12" s="42" t="str">
        <x:v>常规周</x:v>
      </x:c>
      <x:c r="D12" s="42" t="str">
        <x:v>客服A</x:v>
      </x:c>
      <x:c r="E12" s="42" t="str">
        <x:v>客服B</x:v>
      </x:c>
      <x:c r="F12" s="42" t="str">
        <x:v>客服C</x:v>
      </x:c>
      <x:c r="G12" s="42" t="str">
        <x:v>客服D</x:v>
      </x:c>
    </x:row>
    <x:row r="13">
      <x:c r="A13" s="42" t="n">
        <x:v>3</x:v>
      </x:c>
      <x:c r="B13" s="42" t="n">
        <x:v>1</x:v>
      </x:c>
      <x:c r="C13" s="42" t="str">
        <x:v>常规周</x:v>
      </x:c>
      <x:c r="D13" s="42" t="str">
        <x:v>客服A</x:v>
      </x:c>
      <x:c r="E13" s="42" t="str">
        <x:v>客服B</x:v>
      </x:c>
      <x:c r="F13" s="42" t="str">
        <x:v>客服C</x:v>
      </x:c>
      <x:c r="G13" s="42" t="str">
        <x:v>客服D</x:v>
      </x:c>
    </x:row>
    <x:row r="14">
      <x:c r="A14" s="42" t="n">
        <x:v>4</x:v>
      </x:c>
      <x:c r="B14" s="42" t="n">
        <x:v>1</x:v>
      </x:c>
      <x:c r="C14" s="42" t="str">
        <x:v>常规周</x:v>
      </x:c>
      <x:c r="D14" s="42" t="str">
        <x:v>客服A</x:v>
      </x:c>
      <x:c r="E14" s="42" t="str">
        <x:v>客服B</x:v>
      </x:c>
      <x:c r="F14" s="42" t="str">
        <x:v>客服C</x:v>
      </x:c>
      <x:c r="G14" s="42" t="str">
        <x:v>客服D</x:v>
      </x:c>
    </x:row>
    <x:row r="15">
      <x:c r="A15" s="42" t="n">
        <x:v>5</x:v>
      </x:c>
      <x:c r="B15" s="42" t="n">
        <x:v>2</x:v>
      </x:c>
      <x:c r="C15" s="42" t="str">
        <x:v>换休周</x:v>
      </x:c>
      <x:c r="D15" s="42" t="str">
        <x:v>客服C</x:v>
      </x:c>
      <x:c r="E15" s="42" t="str">
        <x:v>客服D</x:v>
      </x:c>
      <x:c r="F15" s="42" t="str">
        <x:v>客服A</x:v>
      </x:c>
      <x:c r="G15" s="42" t="str">
        <x:v>客服B</x:v>
      </x:c>
    </x:row>
    <x:row r="16">
      <x:c r="A16" s="42" t="n">
        <x:v>6</x:v>
      </x:c>
      <x:c r="B16" s="42" t="n">
        <x:v>2</x:v>
      </x:c>
      <x:c r="C16" s="42" t="str">
        <x:v>常规周</x:v>
      </x:c>
      <x:c r="D16" s="42" t="str">
        <x:v>客服C</x:v>
      </x:c>
      <x:c r="E16" s="42" t="str">
        <x:v>客服A</x:v>
      </x:c>
      <x:c r="F16" s="42" t="str">
        <x:v>客服D</x:v>
      </x:c>
      <x:c r="G16" s="42" t="str">
        <x:v>客服B</x:v>
      </x:c>
    </x:row>
    <x:row r="17">
      <x:c r="A17" s="42" t="n">
        <x:v>7</x:v>
      </x:c>
      <x:c r="B17" s="42" t="n">
        <x:v>2</x:v>
      </x:c>
      <x:c r="C17" s="42" t="str">
        <x:v>常规周</x:v>
      </x:c>
      <x:c r="D17" s="42" t="str">
        <x:v>客服C</x:v>
      </x:c>
      <x:c r="E17" s="42" t="str">
        <x:v>客服A</x:v>
      </x:c>
      <x:c r="F17" s="42" t="str">
        <x:v>客服D</x:v>
      </x:c>
      <x:c r="G17" s="42" t="str">
        <x:v>客服B</x:v>
      </x:c>
    </x:row>
    <x:row r="18">
      <x:c r="A18" s="42" t="n">
        <x:v>8</x:v>
      </x:c>
      <x:c r="B18" s="42" t="n">
        <x:v>2</x:v>
      </x:c>
      <x:c r="C18" s="42" t="str">
        <x:v>常规周</x:v>
      </x:c>
      <x:c r="D18" s="42" t="str">
        <x:v>客服C</x:v>
      </x:c>
      <x:c r="E18" s="42" t="str">
        <x:v>客服A</x:v>
      </x:c>
      <x:c r="F18" s="42" t="str">
        <x:v>客服D</x:v>
      </x:c>
      <x:c r="G18" s="42" t="str">
        <x:v>客服B</x:v>
      </x:c>
    </x:row>
    <x:row r="19">
      <x:c r="A19" s="42" t="n">
        <x:v>9</x:v>
      </x:c>
      <x:c r="B19" s="42" t="n">
        <x:v>3</x:v>
      </x:c>
      <x:c r="C19" s="42" t="str">
        <x:v>换休周</x:v>
      </x:c>
      <x:c r="D19" s="42" t="str">
        <x:v>客服D</x:v>
      </x:c>
      <x:c r="E19" s="42" t="str">
        <x:v>客服B</x:v>
      </x:c>
      <x:c r="F19" s="42" t="str">
        <x:v>客服C</x:v>
      </x:c>
      <x:c r="G19" s="42" t="str">
        <x:v>客服A</x:v>
      </x:c>
    </x:row>
    <x:row r="20">
      <x:c r="A20" s="42" t="n">
        <x:v>10</x:v>
      </x:c>
      <x:c r="B20" s="42" t="n">
        <x:v>3</x:v>
      </x:c>
      <x:c r="C20" s="42" t="str">
        <x:v>常规周</x:v>
      </x:c>
      <x:c r="D20" s="42" t="str">
        <x:v>客服D</x:v>
      </x:c>
      <x:c r="E20" s="42" t="str">
        <x:v>客服C</x:v>
      </x:c>
      <x:c r="F20" s="42" t="str">
        <x:v>客服B</x:v>
      </x:c>
      <x:c r="G20" s="42" t="str">
        <x:v>客服A</x:v>
      </x:c>
    </x:row>
    <x:row r="21">
      <x:c r="A21" s="42" t="n">
        <x:v>11</x:v>
      </x:c>
      <x:c r="B21" s="42" t="n">
        <x:v>3</x:v>
      </x:c>
      <x:c r="C21" s="42" t="str">
        <x:v>常规周</x:v>
      </x:c>
      <x:c r="D21" s="42" t="str">
        <x:v>客服D</x:v>
      </x:c>
      <x:c r="E21" s="42" t="str">
        <x:v>客服C</x:v>
      </x:c>
      <x:c r="F21" s="42" t="str">
        <x:v>客服B</x:v>
      </x:c>
      <x:c r="G21" s="42" t="str">
        <x:v>客服A</x:v>
      </x:c>
    </x:row>
    <x:row r="22">
      <x:c r="A22" s="42" t="n">
        <x:v>12</x:v>
      </x:c>
      <x:c r="B22" s="42" t="n">
        <x:v>3</x:v>
      </x:c>
      <x:c r="C22" s="42" t="str">
        <x:v>常规周</x:v>
      </x:c>
      <x:c r="D22" s="42" t="str">
        <x:v>客服D</x:v>
      </x:c>
      <x:c r="E22" s="42" t="str">
        <x:v>客服C</x:v>
      </x:c>
      <x:c r="F22" s="42" t="str">
        <x:v>客服B</x:v>
      </x:c>
      <x:c r="G22" s="42" t="str">
        <x:v>客服A</x:v>
      </x:c>
    </x:row>
    <x:row r="23">
      <x:c r="A23" s="42" t="n">
        <x:v>13</x:v>
      </x:c>
      <x:c r="B23" s="42" t="n">
        <x:v>4</x:v>
      </x:c>
      <x:c r="C23" s="42" t="str">
        <x:v>换休周</x:v>
      </x:c>
      <x:c r="D23" s="42" t="str">
        <x:v>客服B</x:v>
      </x:c>
      <x:c r="E23" s="42" t="str">
        <x:v>客服A</x:v>
      </x:c>
      <x:c r="F23" s="42" t="str">
        <x:v>客服D</x:v>
      </x:c>
      <x:c r="G23" s="42" t="str">
        <x:v>客服C</x:v>
      </x:c>
    </x:row>
    <x:row r="24">
      <x:c r="A24" s="42" t="n">
        <x:v>14</x:v>
      </x:c>
      <x:c r="B24" s="42" t="n">
        <x:v>4</x:v>
      </x:c>
      <x:c r="C24" s="42" t="str">
        <x:v>常规周</x:v>
      </x:c>
      <x:c r="D24" s="42" t="str">
        <x:v>客服B</x:v>
      </x:c>
      <x:c r="E24" s="42" t="str">
        <x:v>客服D</x:v>
      </x:c>
      <x:c r="F24" s="42" t="str">
        <x:v>客服A</x:v>
      </x:c>
      <x:c r="G24" s="42" t="str">
        <x:v>客服C</x:v>
      </x:c>
    </x:row>
    <x:row r="25">
      <x:c r="A25" s="42" t="n">
        <x:v>15</x:v>
      </x:c>
      <x:c r="B25" s="42" t="n">
        <x:v>4</x:v>
      </x:c>
      <x:c r="C25" s="42" t="str">
        <x:v>常规周</x:v>
      </x:c>
      <x:c r="D25" s="42" t="str">
        <x:v>客服B</x:v>
      </x:c>
      <x:c r="E25" s="42" t="str">
        <x:v>客服D</x:v>
      </x:c>
      <x:c r="F25" s="42" t="str">
        <x:v>客服A</x:v>
      </x:c>
      <x:c r="G25" s="42" t="str">
        <x:v>客服C</x:v>
      </x:c>
    </x:row>
    <x:row r="26">
      <x:c r="A26" s="42" t="n">
        <x:v>16</x:v>
      </x:c>
      <x:c r="B26" s="42" t="n">
        <x:v>4</x:v>
      </x:c>
      <x:c r="C26" s="42" t="str">
        <x:v>常规周</x:v>
      </x:c>
      <x:c r="D26" s="42" t="str">
        <x:v>客服B</x:v>
      </x:c>
      <x:c r="E26" s="42" t="str">
        <x:v>客服D</x:v>
      </x:c>
      <x:c r="F26" s="42" t="str">
        <x:v>客服A</x:v>
      </x:c>
      <x:c r="G26" s="42" t="str">
        <x:v>客服C</x:v>
      </x:c>
    </x:row>
  </x:sheetData>
  <x:mergeCells>
    <x:mergeCell ref="A1:H1"/>
  </x:mergeCells>
  <x:conditionalFormatting sqref="C11:C26">
    <x:cfRule type="containsText" dxfId="4" priority="1" operator="containsText" text="换休周"/>
  </x:conditionalFormatting>
  <x:pageMargins left="0.7" right="0.7" top="0.75" bottom="0.75" header="0.3" footer="0.3"/>
  <x:drawing xmlns:r="http://schemas.openxmlformats.org/officeDocument/2006/relationships" r:id="Rb364d891f9394642"/>
</x:worksheet>
</file>